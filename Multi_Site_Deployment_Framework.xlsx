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ite Inventory" sheetId="2" state="visible" r:id="rId4"/>
    <sheet name="IP Addressing" sheetId="3" state="visible" r:id="rId5"/>
    <sheet name="VLAN Mapping" sheetId="4" state="visible" r:id="rId6"/>
    <sheet name="Routing" sheetId="5" state="visible" r:id="rId7"/>
    <sheet name="Security Policies" sheetId="6" state="visible" r:id="rId8"/>
    <sheet name="Config Templates" sheetId="7" state="visible" r:id="rId9"/>
    <sheet name="Naming Standards" sheetId="8" state="visible" r:id="rId10"/>
    <sheet name="Workflo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<sst xmlns="http://schemas.openxmlformats.org/spreadsheetml/2006/main" count="436" uniqueCount="270">
  <si>
    <t xml:space="preserve">MULTI-SITE SWITCH DEPLOYMENT – DASHBOARD</t>
  </si>
  <si>
    <t xml:space="preserve">Standardized Infrastructure Automation Framework  |  Auto-refreshing summary</t>
  </si>
  <si>
    <t xml:space="preserve">Total Sites</t>
  </si>
  <si>
    <t xml:space="preserve">Total Switches</t>
  </si>
  <si>
    <t xml:space="preserve">Total VLANs</t>
  </si>
  <si>
    <t xml:space="preserve">Subnets</t>
  </si>
  <si>
    <t xml:space="preserve">SITE INVENTORY &amp; DEVICE REGISTRY</t>
  </si>
  <si>
    <t xml:space="preserve">One row per device. Yellow cells = user input. Dropdowns for Device Type and Status.</t>
  </si>
  <si>
    <t xml:space="preserve">#</t>
  </si>
  <si>
    <t xml:space="preserve">Site Name</t>
  </si>
  <si>
    <t xml:space="preserve">Site Location</t>
  </si>
  <si>
    <t xml:space="preserve">Device Hostname</t>
  </si>
  <si>
    <t xml:space="preserve">Device Type</t>
  </si>
  <si>
    <t xml:space="preserve">Management IP</t>
  </si>
  <si>
    <t xml:space="preserve">Mgmt VLAN</t>
  </si>
  <si>
    <t xml:space="preserve">Mgmt Subnet</t>
  </si>
  <si>
    <t xml:space="preserve">Gateway</t>
  </si>
  <si>
    <t xml:space="preserve">ISP Circuit ID</t>
  </si>
  <si>
    <t xml:space="preserve">Serial Number</t>
  </si>
  <si>
    <t xml:space="preserve">Stack Priority</t>
  </si>
  <si>
    <t xml:space="preserve">HA Role</t>
  </si>
  <si>
    <t xml:space="preserve">Status</t>
  </si>
  <si>
    <t xml:space="preserve">Notes</t>
  </si>
  <si>
    <t xml:space="preserve">Site A</t>
  </si>
  <si>
    <t xml:space="preserve">US – Remote Office</t>
  </si>
  <si>
    <t xml:space="preserve">sw-sta-us-mdf-1</t>
  </si>
  <si>
    <t xml:space="preserve">Switch</t>
  </si>
  <si>
    <t xml:space="preserve">10.100.10.1</t>
  </si>
  <si>
    <t xml:space="preserve">5</t>
  </si>
  <si>
    <t xml:space="preserve">10.100.10.0/27</t>
  </si>
  <si>
    <t xml:space="preserve">CKT-STA-ISP1-001</t>
  </si>
  <si>
    <t xml:space="preserve">FCW2345G001</t>
  </si>
  <si>
    <t xml:space="preserve">15</t>
  </si>
  <si>
    <t xml:space="preserve">Stack Master</t>
  </si>
  <si>
    <t xml:space="preserve">Configured</t>
  </si>
  <si>
    <t xml:space="preserve">2-member stack</t>
  </si>
  <si>
    <t xml:space="preserve">10.100.10.2</t>
  </si>
  <si>
    <t xml:space="preserve">FCW2345G002</t>
  </si>
  <si>
    <t xml:space="preserve">1</t>
  </si>
  <si>
    <t xml:space="preserve">Stack Member</t>
  </si>
  <si>
    <t xml:space="preserve">Stack member 2</t>
  </si>
  <si>
    <t xml:space="preserve">Site B</t>
  </si>
  <si>
    <t xml:space="preserve">EU – Branch Office</t>
  </si>
  <si>
    <t xml:space="preserve">sw-stb-eu-mdf-1</t>
  </si>
  <si>
    <t xml:space="preserve">10.200.10.1</t>
  </si>
  <si>
    <t xml:space="preserve">10.200.10.0/27</t>
  </si>
  <si>
    <t xml:space="preserve">CKT-STB-ISP1-001</t>
  </si>
  <si>
    <t xml:space="preserve">FCW3456H001</t>
  </si>
  <si>
    <t xml:space="preserve">Planning</t>
  </si>
  <si>
    <t xml:space="preserve">10.200.10.2</t>
  </si>
  <si>
    <t xml:space="preserve">FCW3456H002</t>
  </si>
  <si>
    <t xml:space="preserve">IP ADDRESSING PLAN – ALL SITES</t>
  </si>
  <si>
    <t xml:space="preserve">One row per subnet per site.</t>
  </si>
  <si>
    <t xml:space="preserve">Site CIDR</t>
  </si>
  <si>
    <t xml:space="preserve">VLAN ID</t>
  </si>
  <si>
    <t xml:space="preserve">VLAN Name</t>
  </si>
  <si>
    <t xml:space="preserve">Subnet (CIDR)</t>
  </si>
  <si>
    <t xml:space="preserve">Gateway IP</t>
  </si>
  <si>
    <t xml:space="preserve">First Usable</t>
  </si>
  <si>
    <t xml:space="preserve">Last Usable</t>
  </si>
  <si>
    <t xml:space="preserve">Prefix</t>
  </si>
  <si>
    <t xml:space="preserve">Subnet Mask</t>
  </si>
  <si>
    <t xml:space="preserve">Usable Hosts</t>
  </si>
  <si>
    <t xml:space="preserve">10.100.0.0/16</t>
  </si>
  <si>
    <t xml:space="preserve">User</t>
  </si>
  <si>
    <t xml:space="preserve">10.100.10.0/24</t>
  </si>
  <si>
    <t xml:space="preserve">10.100.10.254</t>
  </si>
  <si>
    <t xml:space="preserve">/24</t>
  </si>
  <si>
    <t xml:space="preserve">255.255.255.0</t>
  </si>
  <si>
    <t xml:space="preserve">User data</t>
  </si>
  <si>
    <t xml:space="preserve">WIFI</t>
  </si>
  <si>
    <t xml:space="preserve">10.100.11.0/25</t>
  </si>
  <si>
    <t xml:space="preserve">10.100.11.1</t>
  </si>
  <si>
    <t xml:space="preserve">10.100.11.2</t>
  </si>
  <si>
    <t xml:space="preserve">10.100.11.126</t>
  </si>
  <si>
    <t xml:space="preserve">/25</t>
  </si>
  <si>
    <t xml:space="preserve">255.255.255.128</t>
  </si>
  <si>
    <t xml:space="preserve">Wireless</t>
  </si>
  <si>
    <t xml:space="preserve">IOT</t>
  </si>
  <si>
    <t xml:space="preserve">10.100.11.128/27</t>
  </si>
  <si>
    <t xml:space="preserve">10.100.11.129</t>
  </si>
  <si>
    <t xml:space="preserve">10.100.11.130</t>
  </si>
  <si>
    <t xml:space="preserve">10.100.11.158</t>
  </si>
  <si>
    <t xml:space="preserve">/27</t>
  </si>
  <si>
    <t xml:space="preserve">255.255.255.224</t>
  </si>
  <si>
    <t xml:space="preserve">IoT devices</t>
  </si>
  <si>
    <t xml:space="preserve">Transfer</t>
  </si>
  <si>
    <t xml:space="preserve">10.100.11.160/28</t>
  </si>
  <si>
    <t xml:space="preserve">10.100.11.161</t>
  </si>
  <si>
    <t xml:space="preserve">10.100.11.162</t>
  </si>
  <si>
    <t xml:space="preserve">10.100.11.174</t>
  </si>
  <si>
    <t xml:space="preserve">/28</t>
  </si>
  <si>
    <t xml:space="preserve">255.255.255.240</t>
  </si>
  <si>
    <t xml:space="preserve">SD-WAN link</t>
  </si>
  <si>
    <t xml:space="preserve">AP</t>
  </si>
  <si>
    <t xml:space="preserve">10.100.11.192/27</t>
  </si>
  <si>
    <t xml:space="preserve">10.100.11.193</t>
  </si>
  <si>
    <t xml:space="preserve">10.100.11.194</t>
  </si>
  <si>
    <t xml:space="preserve">10.100.11.222</t>
  </si>
  <si>
    <t xml:space="preserve">AP mgmt</t>
  </si>
  <si>
    <t xml:space="preserve">Management</t>
  </si>
  <si>
    <t xml:space="preserve">10.100.11.224/27</t>
  </si>
  <si>
    <t xml:space="preserve">10.100.11.225</t>
  </si>
  <si>
    <t xml:space="preserve">10.100.11.226</t>
  </si>
  <si>
    <t xml:space="preserve">10.100.11.254</t>
  </si>
  <si>
    <t xml:space="preserve">In-band mgmt</t>
  </si>
  <si>
    <t xml:space="preserve">10.200.0.0/16</t>
  </si>
  <si>
    <t xml:space="preserve">10.200.10.0/24</t>
  </si>
  <si>
    <t xml:space="preserve">10.200.10.254</t>
  </si>
  <si>
    <t xml:space="preserve">10.200.11.0/25</t>
  </si>
  <si>
    <t xml:space="preserve">10.200.11.1</t>
  </si>
  <si>
    <t xml:space="preserve">10.200.11.2</t>
  </si>
  <si>
    <t xml:space="preserve">10.200.11.126</t>
  </si>
  <si>
    <t xml:space="preserve">10.200.11.160/28</t>
  </si>
  <si>
    <t xml:space="preserve">10.200.11.161</t>
  </si>
  <si>
    <t xml:space="preserve">10.200.11.162</t>
  </si>
  <si>
    <t xml:space="preserve">10.200.11.174</t>
  </si>
  <si>
    <t xml:space="preserve">10.200.11.224/27</t>
  </si>
  <si>
    <t xml:space="preserve">10.200.11.225</t>
  </si>
  <si>
    <t xml:space="preserve">10.200.11.226</t>
  </si>
  <si>
    <t xml:space="preserve">10.200.11.254</t>
  </si>
  <si>
    <t xml:space="preserve">VLAN MAPPING – STANDARD TEMPLATE</t>
  </si>
  <si>
    <t xml:space="preserve">Master VLAN definitions. Applied identically to all sites.</t>
  </si>
  <si>
    <t xml:space="preserve">Site</t>
  </si>
  <si>
    <t xml:space="preserve">Description</t>
  </si>
  <si>
    <t xml:space="preserve">Subnet Template</t>
  </si>
  <si>
    <t xml:space="preserve">Type</t>
  </si>
  <si>
    <t xml:space="preserve">DHCP Scope</t>
  </si>
  <si>
    <t xml:space="preserve">Voice</t>
  </si>
  <si>
    <t xml:space="preserve">Security Zone</t>
  </si>
  <si>
    <t xml:space="preserve">ALL SITES</t>
  </si>
  <si>
    <t xml:space="preserve">TRANSFER</t>
  </si>
  <si>
    <t xml:space="preserve">Transfer network between SD-WAN and switch</t>
  </si>
  <si>
    <t xml:space="preserve">x.x.x.160/28</t>
  </si>
  <si>
    <t xml:space="preserve">No</t>
  </si>
  <si>
    <t xml:space="preserve">Trust</t>
  </si>
  <si>
    <t xml:space="preserve">MANAGEMENT</t>
  </si>
  <si>
    <t xml:space="preserve">In-band management for network devices</t>
  </si>
  <si>
    <t xml:space="preserve">x.x.x.224/27</t>
  </si>
  <si>
    <t xml:space="preserve">Access Point management and provisioning</t>
  </si>
  <si>
    <t xml:space="preserve">x.x.x.192/27</t>
  </si>
  <si>
    <t xml:space="preserve">Yes</t>
  </si>
  <si>
    <t xml:space="preserve">USER</t>
  </si>
  <si>
    <t xml:space="preserve">Primary user data VLAN</t>
  </si>
  <si>
    <t xml:space="preserve">x.x.x.0/24</t>
  </si>
  <si>
    <t xml:space="preserve">Data</t>
  </si>
  <si>
    <t xml:space="preserve">Untrust</t>
  </si>
  <si>
    <t xml:space="preserve">Wireless client VLAN</t>
  </si>
  <si>
    <t xml:space="preserve">x.x.x.0/25</t>
  </si>
  <si>
    <t xml:space="preserve">IoT devices (printers, cameras, sensors)</t>
  </si>
  <si>
    <t xml:space="preserve">x.x.x.128/27</t>
  </si>
  <si>
    <t xml:space="preserve">IoT</t>
  </si>
  <si>
    <t xml:space="preserve">GUEST</t>
  </si>
  <si>
    <t xml:space="preserve">Guest wireless (L2 extended)</t>
  </si>
  <si>
    <t xml:space="preserve">L2 Only</t>
  </si>
  <si>
    <t xml:space="preserve">Guest</t>
  </si>
  <si>
    <t xml:space="preserve">Central</t>
  </si>
  <si>
    <t xml:space="preserve">CORP</t>
  </si>
  <si>
    <t xml:space="preserve">Corporate wireless (L2 extended)</t>
  </si>
  <si>
    <t xml:space="preserve">ROUTING TABLE – ALL SITES</t>
  </si>
  <si>
    <t xml:space="preserve">Static and dynamic routing entries per site.</t>
  </si>
  <si>
    <t xml:space="preserve">Destination</t>
  </si>
  <si>
    <t xml:space="preserve">Next Hop</t>
  </si>
  <si>
    <t xml:space="preserve">Protocol</t>
  </si>
  <si>
    <t xml:space="preserve">AD/Metric</t>
  </si>
  <si>
    <t xml:space="preserve">Interface</t>
  </si>
  <si>
    <t xml:space="preserve">0.0.0.0/0</t>
  </si>
  <si>
    <t xml:space="preserve">Static</t>
  </si>
  <si>
    <t xml:space="preserve">1/0</t>
  </si>
  <si>
    <t xml:space="preserve">Vlan3</t>
  </si>
  <si>
    <t xml:space="preserve">Default route to SD-WAN</t>
  </si>
  <si>
    <t xml:space="preserve">SECURITY POLICIES &amp; ACLs</t>
  </si>
  <si>
    <t xml:space="preserve">Firewall rules, ACLs, and security zone definitions.</t>
  </si>
  <si>
    <t xml:space="preserve">Src Zone</t>
  </si>
  <si>
    <t xml:space="preserve">Dst Zone</t>
  </si>
  <si>
    <t xml:space="preserve">Src Network</t>
  </si>
  <si>
    <t xml:space="preserve">Dst Network</t>
  </si>
  <si>
    <t xml:space="preserve">Service</t>
  </si>
  <si>
    <t xml:space="preserve">Action</t>
  </si>
  <si>
    <t xml:space="preserve">Log</t>
  </si>
  <si>
    <t xml:space="preserve">VLAN 10</t>
  </si>
  <si>
    <t xml:space="preserve">Any</t>
  </si>
  <si>
    <t xml:space="preserve">Allow</t>
  </si>
  <si>
    <t xml:space="preserve">Users to Internet</t>
  </si>
  <si>
    <t xml:space="preserve">VLAN 188</t>
  </si>
  <si>
    <t xml:space="preserve">Deny</t>
  </si>
  <si>
    <t xml:space="preserve">Block IoT lateral</t>
  </si>
  <si>
    <t xml:space="preserve">VLAN 192</t>
  </si>
  <si>
    <t xml:space="preserve">RFC1918</t>
  </si>
  <si>
    <t xml:space="preserve">Block guest internal</t>
  </si>
  <si>
    <t xml:space="preserve">CONFIGURATION TEMPLATES – JINJA2 PLACEHOLDERS</t>
  </si>
  <si>
    <t xml:space="preserve">Map of template variables to Excel columns.</t>
  </si>
  <si>
    <t xml:space="preserve">Template</t>
  </si>
  <si>
    <t xml:space="preserve">Placeholder</t>
  </si>
  <si>
    <t xml:space="preserve">Maps To</t>
  </si>
  <si>
    <t xml:space="preserve">Example</t>
  </si>
  <si>
    <t xml:space="preserve">switch_config.j2</t>
  </si>
  <si>
    <t xml:space="preserve">{{ hostname }}</t>
  </si>
  <si>
    <t xml:space="preserve">Site Inventory → Hostname</t>
  </si>
  <si>
    <t xml:space="preserve">{{ mgmt_ip }}</t>
  </si>
  <si>
    <t xml:space="preserve">Site Inventory → Mgmt IP</t>
  </si>
  <si>
    <t xml:space="preserve">{{ vlans }}</t>
  </si>
  <si>
    <t xml:space="preserve">VLAN Mapping → VLAN list</t>
  </si>
  <si>
    <t xml:space="preserve">[{id:10, name:'USER'}]</t>
  </si>
  <si>
    <t xml:space="preserve">{{ svi.ip }}</t>
  </si>
  <si>
    <t xml:space="preserve">IP Addressing → Gateway</t>
  </si>
  <si>
    <t xml:space="preserve">{{ svi.mask }}</t>
  </si>
  <si>
    <t xml:space="preserve">IP Addressing → Mask</t>
  </si>
  <si>
    <t xml:space="preserve">{{ tacacs_server }}</t>
  </si>
  <si>
    <t xml:space="preserve">Global secret</t>
  </si>
  <si>
    <t xml:space="preserve">&lt;TACACS_SERVER_IP&gt;</t>
  </si>
  <si>
    <t xml:space="preserve">{{ snmp_ro }}</t>
  </si>
  <si>
    <t xml:space="preserve">&lt;RO_COMMUNITY&gt;</t>
  </si>
  <si>
    <t xml:space="preserve">NAMING CONVENTION STANDARDS</t>
  </si>
  <si>
    <t xml:space="preserve">Enterprise naming standards for all network elements.</t>
  </si>
  <si>
    <t xml:space="preserve">Element</t>
  </si>
  <si>
    <t xml:space="preserve">Pattern</t>
  </si>
  <si>
    <t xml:space="preserve">Example 1</t>
  </si>
  <si>
    <t xml:space="preserve">Example 2</t>
  </si>
  <si>
    <t xml:space="preserve">sw-{site}-{country}-{role}-{num}</t>
  </si>
  <si>
    <t xml:space="preserve">sw-stb-eu-idf-2</t>
  </si>
  <si>
    <t xml:space="preserve">role: mdf/idf</t>
  </si>
  <si>
    <t xml:space="preserve">SD-WAN</t>
  </si>
  <si>
    <t xml:space="preserve">sd-{site}-{country}-{role}-{num}</t>
  </si>
  <si>
    <t xml:space="preserve">sd-sta-us-mdf-1</t>
  </si>
  <si>
    <t xml:space="preserve">sd-stb-eu-mdf-2</t>
  </si>
  <si>
    <t xml:space="preserve">1=Primary, 2=Secondary</t>
  </si>
  <si>
    <t xml:space="preserve">ap-{site}-{country}-{num}</t>
  </si>
  <si>
    <t xml:space="preserve">ap-sta-us-01</t>
  </si>
  <si>
    <t xml:space="preserve">ap-stb-eu-04</t>
  </si>
  <si>
    <t xml:space="preserve">Sequential per site</t>
  </si>
  <si>
    <t xml:space="preserve">VLAN</t>
  </si>
  <si>
    <t xml:space="preserve">{SITE_PREFIX}-{FUNCTION}</t>
  </si>
  <si>
    <t xml:space="preserve">STA-USER</t>
  </si>
  <si>
    <t xml:space="preserve">STB-MANAGEMENT</t>
  </si>
  <si>
    <t xml:space="preserve">Uppercase</t>
  </si>
  <si>
    <t xml:space="preserve">Circuit</t>
  </si>
  <si>
    <t xml:space="preserve">CKT-{site}-{ISP}-{num}</t>
  </si>
  <si>
    <t xml:space="preserve">CKT-STB-ISP2-002</t>
  </si>
  <si>
    <t xml:space="preserve">Unique per circuit</t>
  </si>
  <si>
    <t xml:space="preserve">DEPLOYMENT WORKFLOW &amp; AUTOMATION GUIDE</t>
  </si>
  <si>
    <t xml:space="preserve">Step-by-step process from planning to production.</t>
  </si>
  <si>
    <t xml:space="preserve">Step</t>
  </si>
  <si>
    <t xml:space="preserve">Phase</t>
  </si>
  <si>
    <t xml:space="preserve">Owner</t>
  </si>
  <si>
    <t xml:space="preserve">STEP 1</t>
  </si>
  <si>
    <t xml:space="preserve">Fill Excel</t>
  </si>
  <si>
    <t xml:space="preserve">Populate Site Inventory, IP Addressing, VLAN Mapping, Routing sheets</t>
  </si>
  <si>
    <t xml:space="preserve">Network Architect</t>
  </si>
  <si>
    <t xml:space="preserve">STEP 2</t>
  </si>
  <si>
    <t xml:space="preserve">Validate</t>
  </si>
  <si>
    <t xml:space="preserve">Run validate_inputs.py – checks duplicates, CIDR overlap, naming</t>
  </si>
  <si>
    <t xml:space="preserve">STEP 3</t>
  </si>
  <si>
    <t xml:space="preserve">Generate</t>
  </si>
  <si>
    <t xml:space="preserve">Run generate_configs.py – renders switch configs from Jinja2 templates</t>
  </si>
  <si>
    <t xml:space="preserve">Automation Engineer</t>
  </si>
  <si>
    <t xml:space="preserve">STEP 4</t>
  </si>
  <si>
    <t xml:space="preserve">Review</t>
  </si>
  <si>
    <t xml:space="preserve">Peer review generated .cfg files. Replace secret placeholders.</t>
  </si>
  <si>
    <t xml:space="preserve">Team Lead</t>
  </si>
  <si>
    <t xml:space="preserve">STEP 5</t>
  </si>
  <si>
    <t xml:space="preserve">Deploy</t>
  </si>
  <si>
    <t xml:space="preserve">Push via Ansible (deploy_site.yml) or manual SSH/SCP</t>
  </si>
  <si>
    <t xml:space="preserve">Network Engineer</t>
  </si>
  <si>
    <t xml:space="preserve">STEP 6</t>
  </si>
  <si>
    <t xml:space="preserve">Post-deploy: show vlan, show ip int brief, show ip route, show tacacs</t>
  </si>
  <si>
    <t xml:space="preserve">STEP 7</t>
  </si>
  <si>
    <t xml:space="preserve">Handoff</t>
  </si>
  <si>
    <t xml:space="preserve">Update Excel status to Production. Add to monitoring. Close ticket.</t>
  </si>
  <si>
    <t xml:space="preserve">NOC Team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</si>
</sst>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28"/>
      <color rgb="FF028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E8E8"/>
        <bgColor rgb="FFE2EFDA"/>
      </patternFill>
    </fill>
    <fill>
      <patternFill patternType="solid">
        <fgColor rgb="FFF2F2F2"/>
        <bgColor rgb="FFE8E8E8"/>
      </patternFill>
    </fill>
    <fill>
      <patternFill patternType="solid">
        <fgColor rgb="FFD6E4F0"/>
        <bgColor rgb="FFE8E8E8"/>
      </patternFill>
    </fill>
    <fill>
      <patternFill patternType="solid">
        <fgColor rgb="FFE2EFDA"/>
        <bgColor rgb="FFE8E8E8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E8E8E8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88888"/>
      <rgbColor rgb="FF9999FF"/>
      <rgbColor rgb="FF9C27B0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8E8E8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800"/>
      <rgbColor rgb="FFFF6600"/>
      <rgbColor rgb="FF666666"/>
      <rgbColor rgb="FF969696"/>
      <rgbColor rgb="FF1B3A5C"/>
      <rgbColor rgb="FF4CAF50"/>
      <rgbColor rgb="FF003300"/>
      <rgbColor rgb="FF333300"/>
      <rgbColor rgb="FF993300"/>
      <rgbColor rgb="FF7955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C4" s="3" t="s">
        <v>2</v>
      </c>
      <c r="D4" s="3" t="s">
        <v>3</v>
      </c>
      <c r="E4" s="3" t="s">
        <v>4</v>
      </c>
      <c r="F4" s="3" t="s">
        <v>5</v>
      </c>
    </row>
    <row r="5" customFormat="false" ht="33.85" hidden="false" customHeight="false" outlineLevel="0" collapsed="false">
      <c r="C5" s="4" t="n">
        <f aca="false">COUNTA('Site Inventory'!B5:B54)</f>
        <v>4</v>
      </c>
      <c r="D5" s="4" t="n">
        <f aca="false">COUNTIF('Site Inventory'!E5:E104,"Switch")</f>
        <v>4</v>
      </c>
      <c r="E5" s="4" t="n">
        <f aca="false">COUNTA('VLAN Mapping'!A5:A504)</f>
        <v>8</v>
      </c>
      <c r="F5" s="4" t="n">
        <f aca="false">COUNTA('IP Addressing'!C5:C504)</f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1" min="9" style="0" width="16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8"/>
  </cols>
  <sheetData>
    <row r="1" customFormat="false" ht="33.75" hidden="false" customHeight="true" outlineLevel="0" collapsed="false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</row>
    <row r="5" customFormat="false" ht="19.5" hidden="false" customHeight="true" outlineLevel="0" collapsed="false">
      <c r="A5" s="6" t="n">
        <v>1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27</v>
      </c>
      <c r="J5" s="6" t="s">
        <v>30</v>
      </c>
      <c r="K5" s="6" t="s">
        <v>31</v>
      </c>
      <c r="L5" s="6" t="s">
        <v>32</v>
      </c>
      <c r="M5" s="6" t="s">
        <v>33</v>
      </c>
      <c r="N5" s="6" t="s">
        <v>34</v>
      </c>
      <c r="O5" s="6" t="s">
        <v>35</v>
      </c>
    </row>
    <row r="6" customFormat="false" ht="19.5" hidden="false" customHeight="true" outlineLevel="0" collapsed="false">
      <c r="A6" s="7" t="n">
        <v>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36</v>
      </c>
      <c r="G6" s="7" t="s">
        <v>28</v>
      </c>
      <c r="H6" s="7" t="s">
        <v>29</v>
      </c>
      <c r="I6" s="7" t="s">
        <v>27</v>
      </c>
      <c r="J6" s="7"/>
      <c r="K6" s="7" t="s">
        <v>37</v>
      </c>
      <c r="L6" s="7" t="s">
        <v>38</v>
      </c>
      <c r="M6" s="7" t="s">
        <v>39</v>
      </c>
      <c r="N6" s="7" t="s">
        <v>34</v>
      </c>
      <c r="O6" s="7" t="s">
        <v>40</v>
      </c>
    </row>
    <row r="7" customFormat="false" ht="19.5" hidden="false" customHeight="true" outlineLevel="0" collapsed="false">
      <c r="A7" s="6" t="n">
        <v>3</v>
      </c>
      <c r="B7" s="6" t="s">
        <v>41</v>
      </c>
      <c r="C7" s="6" t="s">
        <v>42</v>
      </c>
      <c r="D7" s="6" t="s">
        <v>43</v>
      </c>
      <c r="E7" s="6" t="s">
        <v>26</v>
      </c>
      <c r="F7" s="6" t="s">
        <v>44</v>
      </c>
      <c r="G7" s="6" t="s">
        <v>28</v>
      </c>
      <c r="H7" s="6" t="s">
        <v>45</v>
      </c>
      <c r="I7" s="6" t="s">
        <v>44</v>
      </c>
      <c r="J7" s="6" t="s">
        <v>46</v>
      </c>
      <c r="K7" s="6" t="s">
        <v>47</v>
      </c>
      <c r="L7" s="6" t="s">
        <v>32</v>
      </c>
      <c r="M7" s="6" t="s">
        <v>33</v>
      </c>
      <c r="N7" s="6" t="s">
        <v>48</v>
      </c>
      <c r="O7" s="6" t="s">
        <v>35</v>
      </c>
    </row>
    <row r="8" customFormat="false" ht="19.5" hidden="false" customHeight="true" outlineLevel="0" collapsed="false">
      <c r="A8" s="7" t="n">
        <v>4</v>
      </c>
      <c r="B8" s="7" t="s">
        <v>41</v>
      </c>
      <c r="C8" s="7" t="s">
        <v>42</v>
      </c>
      <c r="D8" s="7" t="s">
        <v>43</v>
      </c>
      <c r="E8" s="7" t="s">
        <v>26</v>
      </c>
      <c r="F8" s="7" t="s">
        <v>49</v>
      </c>
      <c r="G8" s="7" t="s">
        <v>28</v>
      </c>
      <c r="H8" s="7" t="s">
        <v>45</v>
      </c>
      <c r="I8" s="7" t="s">
        <v>44</v>
      </c>
      <c r="J8" s="7"/>
      <c r="K8" s="7" t="s">
        <v>50</v>
      </c>
      <c r="L8" s="7" t="s">
        <v>38</v>
      </c>
      <c r="M8" s="7" t="s">
        <v>39</v>
      </c>
      <c r="N8" s="7" t="s">
        <v>48</v>
      </c>
      <c r="O8" s="7" t="s">
        <v>40</v>
      </c>
    </row>
  </sheetData>
  <mergeCells count="2">
    <mergeCell ref="A1:O1"/>
    <mergeCell ref="A2:O2"/>
  </mergeCells>
  <conditionalFormatting sqref="N5:N104">
    <cfRule type="cellIs" priority="2" operator="equal" aboveAverage="0" equalAverage="0" bottom="0" percent="0" rank="0" text="" dxfId="0">
      <formula>"Production"</formula>
    </cfRule>
    <cfRule type="cellIs" priority="3" operator="equal" aboveAverage="0" equalAverage="0" bottom="0" percent="0" rank="0" text="" dxfId="1">
      <formula>"Planning"</formula>
    </cfRule>
  </conditionalFormatting>
  <dataValidations count="3">
    <dataValidation allowBlank="false" errorStyle="stop" operator="between" showDropDown="false" showErrorMessage="false" showInputMessage="false" sqref="E5:E104" type="list">
      <formula1>"Switch,Router,Firewall,SD-WAN,WLC,Access Point"</formula1>
      <formula2>0</formula2>
    </dataValidation>
    <dataValidation allowBlank="false" errorStyle="stop" operator="between" showDropDown="false" showErrorMessage="false" showInputMessage="false" sqref="N5:N104" type="list">
      <formula1>"Planning,Ordered,Received,Configured,Deployed,Validated,Production"</formula1>
      <formula2>0</formula2>
    </dataValidation>
    <dataValidation allowBlank="false" errorStyle="stop" operator="between" showDropDown="false" showErrorMessage="false" showInputMessage="false" sqref="M5:M104" type="list">
      <formula1>"Primary,Secondary,Standalone,Stack Master,Stack Member"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9" min="7" style="0" width="16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33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9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22</v>
      </c>
    </row>
    <row r="5" customFormat="false" ht="19.5" hidden="false" customHeight="true" outlineLevel="0" collapsed="false">
      <c r="A5" s="6" t="n">
        <v>1</v>
      </c>
      <c r="B5" s="6" t="s">
        <v>23</v>
      </c>
      <c r="C5" s="6" t="s">
        <v>63</v>
      </c>
      <c r="D5" s="6" t="n">
        <v>10</v>
      </c>
      <c r="E5" s="6" t="s">
        <v>64</v>
      </c>
      <c r="F5" s="6" t="s">
        <v>65</v>
      </c>
      <c r="G5" s="6" t="s">
        <v>27</v>
      </c>
      <c r="H5" s="6" t="s">
        <v>36</v>
      </c>
      <c r="I5" s="6" t="s">
        <v>66</v>
      </c>
      <c r="J5" s="6" t="s">
        <v>67</v>
      </c>
      <c r="K5" s="6" t="s">
        <v>68</v>
      </c>
      <c r="L5" s="6" t="n">
        <v>253</v>
      </c>
      <c r="M5" s="6" t="s">
        <v>69</v>
      </c>
    </row>
    <row r="6" customFormat="false" ht="19.5" hidden="false" customHeight="true" outlineLevel="0" collapsed="false">
      <c r="A6" s="7" t="n">
        <v>2</v>
      </c>
      <c r="B6" s="7" t="s">
        <v>23</v>
      </c>
      <c r="C6" s="7" t="s">
        <v>63</v>
      </c>
      <c r="D6" s="7" t="n">
        <v>18</v>
      </c>
      <c r="E6" s="7" t="s">
        <v>70</v>
      </c>
      <c r="F6" s="7" t="s">
        <v>71</v>
      </c>
      <c r="G6" s="7" t="s">
        <v>72</v>
      </c>
      <c r="H6" s="7" t="s">
        <v>73</v>
      </c>
      <c r="I6" s="7" t="s">
        <v>74</v>
      </c>
      <c r="J6" s="7" t="s">
        <v>75</v>
      </c>
      <c r="K6" s="7" t="s">
        <v>76</v>
      </c>
      <c r="L6" s="7" t="n">
        <v>125</v>
      </c>
      <c r="M6" s="7" t="s">
        <v>77</v>
      </c>
    </row>
    <row r="7" customFormat="false" ht="19.5" hidden="false" customHeight="true" outlineLevel="0" collapsed="false">
      <c r="A7" s="6" t="n">
        <v>3</v>
      </c>
      <c r="B7" s="6" t="s">
        <v>23</v>
      </c>
      <c r="C7" s="6" t="s">
        <v>63</v>
      </c>
      <c r="D7" s="6" t="n">
        <v>188</v>
      </c>
      <c r="E7" s="6" t="s">
        <v>78</v>
      </c>
      <c r="F7" s="6" t="s">
        <v>79</v>
      </c>
      <c r="G7" s="6" t="s">
        <v>80</v>
      </c>
      <c r="H7" s="6" t="s">
        <v>81</v>
      </c>
      <c r="I7" s="6" t="s">
        <v>82</v>
      </c>
      <c r="J7" s="6" t="s">
        <v>83</v>
      </c>
      <c r="K7" s="6" t="s">
        <v>84</v>
      </c>
      <c r="L7" s="6" t="n">
        <v>29</v>
      </c>
      <c r="M7" s="6" t="s">
        <v>85</v>
      </c>
    </row>
    <row r="8" customFormat="false" ht="19.5" hidden="false" customHeight="true" outlineLevel="0" collapsed="false">
      <c r="A8" s="7" t="n">
        <v>4</v>
      </c>
      <c r="B8" s="7" t="s">
        <v>23</v>
      </c>
      <c r="C8" s="7" t="s">
        <v>63</v>
      </c>
      <c r="D8" s="7" t="n">
        <v>3</v>
      </c>
      <c r="E8" s="7" t="s">
        <v>86</v>
      </c>
      <c r="F8" s="7" t="s">
        <v>87</v>
      </c>
      <c r="G8" s="7" t="s">
        <v>88</v>
      </c>
      <c r="H8" s="7" t="s">
        <v>89</v>
      </c>
      <c r="I8" s="7" t="s">
        <v>90</v>
      </c>
      <c r="J8" s="7" t="s">
        <v>91</v>
      </c>
      <c r="K8" s="7" t="s">
        <v>92</v>
      </c>
      <c r="L8" s="7" t="n">
        <v>13</v>
      </c>
      <c r="M8" s="7" t="s">
        <v>93</v>
      </c>
    </row>
    <row r="9" customFormat="false" ht="19.5" hidden="false" customHeight="true" outlineLevel="0" collapsed="false">
      <c r="A9" s="6" t="n">
        <v>5</v>
      </c>
      <c r="B9" s="6" t="s">
        <v>23</v>
      </c>
      <c r="C9" s="6" t="s">
        <v>63</v>
      </c>
      <c r="D9" s="6" t="n">
        <v>9</v>
      </c>
      <c r="E9" s="6" t="s">
        <v>94</v>
      </c>
      <c r="F9" s="6" t="s">
        <v>95</v>
      </c>
      <c r="G9" s="6" t="s">
        <v>96</v>
      </c>
      <c r="H9" s="6" t="s">
        <v>97</v>
      </c>
      <c r="I9" s="6" t="s">
        <v>98</v>
      </c>
      <c r="J9" s="6" t="s">
        <v>83</v>
      </c>
      <c r="K9" s="6" t="s">
        <v>84</v>
      </c>
      <c r="L9" s="6" t="n">
        <v>29</v>
      </c>
      <c r="M9" s="6" t="s">
        <v>99</v>
      </c>
    </row>
    <row r="10" customFormat="false" ht="19.5" hidden="false" customHeight="true" outlineLevel="0" collapsed="false">
      <c r="A10" s="7" t="n">
        <v>6</v>
      </c>
      <c r="B10" s="7" t="s">
        <v>23</v>
      </c>
      <c r="C10" s="7" t="s">
        <v>63</v>
      </c>
      <c r="D10" s="7" t="n">
        <v>5</v>
      </c>
      <c r="E10" s="7" t="s">
        <v>100</v>
      </c>
      <c r="F10" s="7" t="s">
        <v>101</v>
      </c>
      <c r="G10" s="7" t="s">
        <v>102</v>
      </c>
      <c r="H10" s="7" t="s">
        <v>103</v>
      </c>
      <c r="I10" s="7" t="s">
        <v>104</v>
      </c>
      <c r="J10" s="7" t="s">
        <v>83</v>
      </c>
      <c r="K10" s="7" t="s">
        <v>84</v>
      </c>
      <c r="L10" s="7" t="n">
        <v>29</v>
      </c>
      <c r="M10" s="7" t="s">
        <v>105</v>
      </c>
    </row>
    <row r="11" customFormat="false" ht="19.5" hidden="false" customHeight="true" outlineLevel="0" collapsed="false">
      <c r="A11" s="6" t="n">
        <v>7</v>
      </c>
      <c r="B11" s="6" t="s">
        <v>41</v>
      </c>
      <c r="C11" s="6" t="s">
        <v>106</v>
      </c>
      <c r="D11" s="6" t="n">
        <v>10</v>
      </c>
      <c r="E11" s="6" t="s">
        <v>64</v>
      </c>
      <c r="F11" s="6" t="s">
        <v>107</v>
      </c>
      <c r="G11" s="6" t="s">
        <v>44</v>
      </c>
      <c r="H11" s="6" t="s">
        <v>49</v>
      </c>
      <c r="I11" s="6" t="s">
        <v>108</v>
      </c>
      <c r="J11" s="6" t="s">
        <v>67</v>
      </c>
      <c r="K11" s="6" t="s">
        <v>68</v>
      </c>
      <c r="L11" s="6" t="n">
        <v>253</v>
      </c>
      <c r="M11" s="6" t="s">
        <v>69</v>
      </c>
    </row>
    <row r="12" customFormat="false" ht="19.5" hidden="false" customHeight="true" outlineLevel="0" collapsed="false">
      <c r="A12" s="7" t="n">
        <v>8</v>
      </c>
      <c r="B12" s="7" t="s">
        <v>41</v>
      </c>
      <c r="C12" s="7" t="s">
        <v>106</v>
      </c>
      <c r="D12" s="7" t="n">
        <v>18</v>
      </c>
      <c r="E12" s="7" t="s">
        <v>70</v>
      </c>
      <c r="F12" s="7" t="s">
        <v>109</v>
      </c>
      <c r="G12" s="7" t="s">
        <v>110</v>
      </c>
      <c r="H12" s="7" t="s">
        <v>111</v>
      </c>
      <c r="I12" s="7" t="s">
        <v>112</v>
      </c>
      <c r="J12" s="7" t="s">
        <v>75</v>
      </c>
      <c r="K12" s="7" t="s">
        <v>76</v>
      </c>
      <c r="L12" s="7" t="n">
        <v>125</v>
      </c>
      <c r="M12" s="7" t="s">
        <v>77</v>
      </c>
    </row>
    <row r="13" customFormat="false" ht="19.5" hidden="false" customHeight="true" outlineLevel="0" collapsed="false">
      <c r="A13" s="6" t="n">
        <v>9</v>
      </c>
      <c r="B13" s="6" t="s">
        <v>41</v>
      </c>
      <c r="C13" s="6" t="s">
        <v>106</v>
      </c>
      <c r="D13" s="6" t="n">
        <v>3</v>
      </c>
      <c r="E13" s="6" t="s">
        <v>86</v>
      </c>
      <c r="F13" s="6" t="s">
        <v>113</v>
      </c>
      <c r="G13" s="6" t="s">
        <v>114</v>
      </c>
      <c r="H13" s="6" t="s">
        <v>115</v>
      </c>
      <c r="I13" s="6" t="s">
        <v>116</v>
      </c>
      <c r="J13" s="6" t="s">
        <v>91</v>
      </c>
      <c r="K13" s="6" t="s">
        <v>92</v>
      </c>
      <c r="L13" s="6" t="n">
        <v>13</v>
      </c>
      <c r="M13" s="6" t="s">
        <v>93</v>
      </c>
    </row>
    <row r="14" customFormat="false" ht="19.5" hidden="false" customHeight="true" outlineLevel="0" collapsed="false">
      <c r="A14" s="7" t="n">
        <v>10</v>
      </c>
      <c r="B14" s="7" t="s">
        <v>41</v>
      </c>
      <c r="C14" s="7" t="s">
        <v>106</v>
      </c>
      <c r="D14" s="7" t="n">
        <v>5</v>
      </c>
      <c r="E14" s="7" t="s">
        <v>100</v>
      </c>
      <c r="F14" s="7" t="s">
        <v>117</v>
      </c>
      <c r="G14" s="7" t="s">
        <v>118</v>
      </c>
      <c r="H14" s="7" t="s">
        <v>119</v>
      </c>
      <c r="I14" s="7" t="s">
        <v>120</v>
      </c>
      <c r="J14" s="7" t="s">
        <v>83</v>
      </c>
      <c r="K14" s="7" t="s">
        <v>84</v>
      </c>
      <c r="L14" s="7" t="n">
        <v>29</v>
      </c>
      <c r="M14" s="7" t="s">
        <v>105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123</v>
      </c>
      <c r="C4" s="5" t="s">
        <v>54</v>
      </c>
      <c r="D4" s="5" t="s">
        <v>55</v>
      </c>
      <c r="E4" s="5" t="s">
        <v>124</v>
      </c>
      <c r="F4" s="5" t="s">
        <v>125</v>
      </c>
      <c r="G4" s="5" t="s">
        <v>126</v>
      </c>
      <c r="H4" s="5" t="s">
        <v>127</v>
      </c>
      <c r="I4" s="5" t="s">
        <v>128</v>
      </c>
      <c r="J4" s="5" t="s">
        <v>129</v>
      </c>
    </row>
    <row r="5" customFormat="false" ht="19.5" hidden="false" customHeight="true" outlineLevel="0" collapsed="false">
      <c r="A5" s="6" t="n">
        <v>1</v>
      </c>
      <c r="B5" s="6" t="s">
        <v>130</v>
      </c>
      <c r="C5" s="6" t="n">
        <v>3</v>
      </c>
      <c r="D5" s="6" t="s">
        <v>131</v>
      </c>
      <c r="E5" s="6" t="s">
        <v>132</v>
      </c>
      <c r="F5" s="6" t="s">
        <v>133</v>
      </c>
      <c r="G5" s="6" t="s">
        <v>86</v>
      </c>
      <c r="H5" s="6" t="s">
        <v>134</v>
      </c>
      <c r="I5" s="6" t="s">
        <v>134</v>
      </c>
      <c r="J5" s="6" t="s">
        <v>135</v>
      </c>
    </row>
    <row r="6" customFormat="false" ht="19.5" hidden="false" customHeight="true" outlineLevel="0" collapsed="false">
      <c r="A6" s="7" t="n">
        <v>2</v>
      </c>
      <c r="B6" s="7" t="s">
        <v>130</v>
      </c>
      <c r="C6" s="7" t="n">
        <v>5</v>
      </c>
      <c r="D6" s="7" t="s">
        <v>136</v>
      </c>
      <c r="E6" s="7" t="s">
        <v>137</v>
      </c>
      <c r="F6" s="7" t="s">
        <v>138</v>
      </c>
      <c r="G6" s="7" t="s">
        <v>100</v>
      </c>
      <c r="H6" s="7" t="s">
        <v>134</v>
      </c>
      <c r="I6" s="7" t="s">
        <v>134</v>
      </c>
      <c r="J6" s="7" t="s">
        <v>135</v>
      </c>
    </row>
    <row r="7" customFormat="false" ht="19.5" hidden="false" customHeight="true" outlineLevel="0" collapsed="false">
      <c r="A7" s="6" t="n">
        <v>3</v>
      </c>
      <c r="B7" s="6" t="s">
        <v>130</v>
      </c>
      <c r="C7" s="6" t="n">
        <v>9</v>
      </c>
      <c r="D7" s="6" t="s">
        <v>94</v>
      </c>
      <c r="E7" s="6" t="s">
        <v>139</v>
      </c>
      <c r="F7" s="6" t="s">
        <v>140</v>
      </c>
      <c r="G7" s="6" t="s">
        <v>100</v>
      </c>
      <c r="H7" s="6" t="s">
        <v>141</v>
      </c>
      <c r="I7" s="6" t="s">
        <v>134</v>
      </c>
      <c r="J7" s="6" t="s">
        <v>135</v>
      </c>
    </row>
    <row r="8" customFormat="false" ht="19.5" hidden="false" customHeight="true" outlineLevel="0" collapsed="false">
      <c r="A8" s="7" t="n">
        <v>4</v>
      </c>
      <c r="B8" s="7" t="s">
        <v>130</v>
      </c>
      <c r="C8" s="7" t="n">
        <v>10</v>
      </c>
      <c r="D8" s="7" t="s">
        <v>142</v>
      </c>
      <c r="E8" s="7" t="s">
        <v>143</v>
      </c>
      <c r="F8" s="7" t="s">
        <v>144</v>
      </c>
      <c r="G8" s="7" t="s">
        <v>145</v>
      </c>
      <c r="H8" s="7" t="s">
        <v>141</v>
      </c>
      <c r="I8" s="7" t="s">
        <v>141</v>
      </c>
      <c r="J8" s="7" t="s">
        <v>146</v>
      </c>
    </row>
    <row r="9" customFormat="false" ht="19.5" hidden="false" customHeight="true" outlineLevel="0" collapsed="false">
      <c r="A9" s="6" t="n">
        <v>5</v>
      </c>
      <c r="B9" s="6" t="s">
        <v>130</v>
      </c>
      <c r="C9" s="6" t="n">
        <v>18</v>
      </c>
      <c r="D9" s="6" t="s">
        <v>70</v>
      </c>
      <c r="E9" s="6" t="s">
        <v>147</v>
      </c>
      <c r="F9" s="6" t="s">
        <v>148</v>
      </c>
      <c r="G9" s="6" t="s">
        <v>77</v>
      </c>
      <c r="H9" s="6" t="s">
        <v>141</v>
      </c>
      <c r="I9" s="6" t="s">
        <v>134</v>
      </c>
      <c r="J9" s="6" t="s">
        <v>146</v>
      </c>
    </row>
    <row r="10" customFormat="false" ht="19.5" hidden="false" customHeight="true" outlineLevel="0" collapsed="false">
      <c r="A10" s="7" t="n">
        <v>6</v>
      </c>
      <c r="B10" s="7" t="s">
        <v>130</v>
      </c>
      <c r="C10" s="7" t="n">
        <v>188</v>
      </c>
      <c r="D10" s="7" t="s">
        <v>78</v>
      </c>
      <c r="E10" s="7" t="s">
        <v>149</v>
      </c>
      <c r="F10" s="7" t="s">
        <v>150</v>
      </c>
      <c r="G10" s="7" t="s">
        <v>151</v>
      </c>
      <c r="H10" s="7" t="s">
        <v>141</v>
      </c>
      <c r="I10" s="7" t="s">
        <v>134</v>
      </c>
      <c r="J10" s="7" t="s">
        <v>151</v>
      </c>
    </row>
    <row r="11" customFormat="false" ht="19.5" hidden="false" customHeight="true" outlineLevel="0" collapsed="false">
      <c r="A11" s="6" t="n">
        <v>7</v>
      </c>
      <c r="B11" s="6" t="s">
        <v>130</v>
      </c>
      <c r="C11" s="6" t="n">
        <v>192</v>
      </c>
      <c r="D11" s="6" t="s">
        <v>152</v>
      </c>
      <c r="E11" s="6" t="s">
        <v>153</v>
      </c>
      <c r="F11" s="6" t="s">
        <v>154</v>
      </c>
      <c r="G11" s="6" t="s">
        <v>155</v>
      </c>
      <c r="H11" s="6" t="s">
        <v>156</v>
      </c>
      <c r="I11" s="6" t="s">
        <v>134</v>
      </c>
      <c r="J11" s="6" t="s">
        <v>155</v>
      </c>
    </row>
    <row r="12" customFormat="false" ht="19.5" hidden="false" customHeight="true" outlineLevel="0" collapsed="false">
      <c r="A12" s="7" t="n">
        <v>8</v>
      </c>
      <c r="B12" s="7" t="s">
        <v>130</v>
      </c>
      <c r="C12" s="7" t="n">
        <v>193</v>
      </c>
      <c r="D12" s="7" t="s">
        <v>157</v>
      </c>
      <c r="E12" s="7" t="s">
        <v>158</v>
      </c>
      <c r="F12" s="7" t="s">
        <v>154</v>
      </c>
      <c r="G12" s="7" t="s">
        <v>77</v>
      </c>
      <c r="H12" s="7" t="s">
        <v>156</v>
      </c>
      <c r="I12" s="7" t="s">
        <v>134</v>
      </c>
      <c r="J12" s="7" t="s">
        <v>135</v>
      </c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G5:G504" type="list">
      <formula1>"Data,Voice,Wireless,Management,IoT,Guest,Transfer,Server"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160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9</v>
      </c>
      <c r="C4" s="5" t="s">
        <v>11</v>
      </c>
      <c r="D4" s="5" t="s">
        <v>161</v>
      </c>
      <c r="E4" s="5" t="s">
        <v>162</v>
      </c>
      <c r="F4" s="5" t="s">
        <v>163</v>
      </c>
      <c r="G4" s="5" t="s">
        <v>164</v>
      </c>
      <c r="H4" s="5" t="s">
        <v>165</v>
      </c>
      <c r="I4" s="5" t="s">
        <v>124</v>
      </c>
    </row>
    <row r="5" customFormat="false" ht="19.5" hidden="false" customHeight="true" outlineLevel="0" collapsed="false">
      <c r="A5" s="6" t="n">
        <v>1</v>
      </c>
      <c r="B5" s="6" t="s">
        <v>23</v>
      </c>
      <c r="C5" s="6" t="s">
        <v>25</v>
      </c>
      <c r="D5" s="6" t="s">
        <v>166</v>
      </c>
      <c r="E5" s="6" t="s">
        <v>89</v>
      </c>
      <c r="F5" s="6" t="s">
        <v>167</v>
      </c>
      <c r="G5" s="6" t="s">
        <v>168</v>
      </c>
      <c r="H5" s="6" t="s">
        <v>169</v>
      </c>
      <c r="I5" s="6" t="s">
        <v>170</v>
      </c>
    </row>
    <row r="6" customFormat="false" ht="19.5" hidden="false" customHeight="true" outlineLevel="0" collapsed="false">
      <c r="A6" s="7" t="n">
        <v>2</v>
      </c>
      <c r="B6" s="7" t="s">
        <v>41</v>
      </c>
      <c r="C6" s="7" t="s">
        <v>43</v>
      </c>
      <c r="D6" s="7" t="s">
        <v>166</v>
      </c>
      <c r="E6" s="7" t="s">
        <v>115</v>
      </c>
      <c r="F6" s="7" t="s">
        <v>167</v>
      </c>
      <c r="G6" s="7" t="s">
        <v>168</v>
      </c>
      <c r="H6" s="7" t="s">
        <v>169</v>
      </c>
      <c r="I6" s="7" t="s">
        <v>170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0"/>
  </cols>
  <sheetData>
    <row r="1" customFormat="false" ht="33.7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123</v>
      </c>
      <c r="C4" s="5" t="s">
        <v>173</v>
      </c>
      <c r="D4" s="5" t="s">
        <v>174</v>
      </c>
      <c r="E4" s="5" t="s">
        <v>175</v>
      </c>
      <c r="F4" s="5" t="s">
        <v>176</v>
      </c>
      <c r="G4" s="5" t="s">
        <v>177</v>
      </c>
      <c r="H4" s="5" t="s">
        <v>178</v>
      </c>
      <c r="I4" s="5" t="s">
        <v>179</v>
      </c>
      <c r="J4" s="5" t="s">
        <v>124</v>
      </c>
    </row>
    <row r="5" customFormat="false" ht="19.5" hidden="false" customHeight="true" outlineLevel="0" collapsed="false">
      <c r="A5" s="6" t="n">
        <v>1</v>
      </c>
      <c r="B5" s="6" t="s">
        <v>130</v>
      </c>
      <c r="C5" s="6" t="s">
        <v>135</v>
      </c>
      <c r="D5" s="6" t="s">
        <v>146</v>
      </c>
      <c r="E5" s="6" t="s">
        <v>180</v>
      </c>
      <c r="F5" s="6" t="s">
        <v>181</v>
      </c>
      <c r="G5" s="6" t="s">
        <v>181</v>
      </c>
      <c r="H5" s="6" t="s">
        <v>182</v>
      </c>
      <c r="I5" s="6" t="s">
        <v>141</v>
      </c>
      <c r="J5" s="6" t="s">
        <v>183</v>
      </c>
    </row>
    <row r="6" customFormat="false" ht="19.5" hidden="false" customHeight="true" outlineLevel="0" collapsed="false">
      <c r="A6" s="7" t="n">
        <v>2</v>
      </c>
      <c r="B6" s="7" t="s">
        <v>130</v>
      </c>
      <c r="C6" s="7" t="s">
        <v>151</v>
      </c>
      <c r="D6" s="7" t="s">
        <v>135</v>
      </c>
      <c r="E6" s="7" t="s">
        <v>184</v>
      </c>
      <c r="F6" s="7" t="s">
        <v>180</v>
      </c>
      <c r="G6" s="7" t="s">
        <v>181</v>
      </c>
      <c r="H6" s="7" t="s">
        <v>185</v>
      </c>
      <c r="I6" s="7" t="s">
        <v>141</v>
      </c>
      <c r="J6" s="7" t="s">
        <v>186</v>
      </c>
    </row>
    <row r="7" customFormat="false" ht="19.5" hidden="false" customHeight="true" outlineLevel="0" collapsed="false">
      <c r="A7" s="6" t="n">
        <v>3</v>
      </c>
      <c r="B7" s="6" t="s">
        <v>130</v>
      </c>
      <c r="C7" s="6" t="s">
        <v>155</v>
      </c>
      <c r="D7" s="6" t="s">
        <v>135</v>
      </c>
      <c r="E7" s="6" t="s">
        <v>187</v>
      </c>
      <c r="F7" s="6" t="s">
        <v>188</v>
      </c>
      <c r="G7" s="6" t="s">
        <v>181</v>
      </c>
      <c r="H7" s="6" t="s">
        <v>185</v>
      </c>
      <c r="I7" s="6" t="s">
        <v>141</v>
      </c>
      <c r="J7" s="6" t="s">
        <v>189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1" t="s">
        <v>190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192</v>
      </c>
      <c r="C4" s="5" t="s">
        <v>193</v>
      </c>
      <c r="D4" s="5" t="s">
        <v>194</v>
      </c>
      <c r="E4" s="5" t="s">
        <v>195</v>
      </c>
    </row>
    <row r="5" customFormat="false" ht="19.5" hidden="false" customHeight="true" outlineLevel="0" collapsed="false">
      <c r="A5" s="6" t="n">
        <v>1</v>
      </c>
      <c r="B5" s="6" t="s">
        <v>196</v>
      </c>
      <c r="C5" s="6" t="s">
        <v>197</v>
      </c>
      <c r="D5" s="6" t="s">
        <v>198</v>
      </c>
      <c r="E5" s="6" t="s">
        <v>25</v>
      </c>
    </row>
    <row r="6" customFormat="false" ht="19.5" hidden="false" customHeight="true" outlineLevel="0" collapsed="false">
      <c r="A6" s="7" t="n">
        <v>2</v>
      </c>
      <c r="B6" s="7" t="s">
        <v>196</v>
      </c>
      <c r="C6" s="7" t="s">
        <v>199</v>
      </c>
      <c r="D6" s="7" t="s">
        <v>200</v>
      </c>
      <c r="E6" s="7" t="s">
        <v>27</v>
      </c>
    </row>
    <row r="7" customFormat="false" ht="19.5" hidden="false" customHeight="true" outlineLevel="0" collapsed="false">
      <c r="A7" s="6" t="n">
        <v>3</v>
      </c>
      <c r="B7" s="6" t="s">
        <v>196</v>
      </c>
      <c r="C7" s="6" t="s">
        <v>201</v>
      </c>
      <c r="D7" s="6" t="s">
        <v>202</v>
      </c>
      <c r="E7" s="6" t="s">
        <v>203</v>
      </c>
    </row>
    <row r="8" customFormat="false" ht="19.5" hidden="false" customHeight="true" outlineLevel="0" collapsed="false">
      <c r="A8" s="7" t="n">
        <v>4</v>
      </c>
      <c r="B8" s="7" t="s">
        <v>196</v>
      </c>
      <c r="C8" s="7" t="s">
        <v>204</v>
      </c>
      <c r="D8" s="7" t="s">
        <v>205</v>
      </c>
      <c r="E8" s="7" t="s">
        <v>27</v>
      </c>
    </row>
    <row r="9" customFormat="false" ht="19.5" hidden="false" customHeight="true" outlineLevel="0" collapsed="false">
      <c r="A9" s="6" t="n">
        <v>5</v>
      </c>
      <c r="B9" s="6" t="s">
        <v>196</v>
      </c>
      <c r="C9" s="6" t="s">
        <v>206</v>
      </c>
      <c r="D9" s="6" t="s">
        <v>207</v>
      </c>
      <c r="E9" s="6" t="s">
        <v>68</v>
      </c>
    </row>
    <row r="10" customFormat="false" ht="19.5" hidden="false" customHeight="true" outlineLevel="0" collapsed="false">
      <c r="A10" s="7" t="n">
        <v>6</v>
      </c>
      <c r="B10" s="7" t="s">
        <v>196</v>
      </c>
      <c r="C10" s="7" t="s">
        <v>208</v>
      </c>
      <c r="D10" s="7" t="s">
        <v>209</v>
      </c>
      <c r="E10" s="7" t="s">
        <v>210</v>
      </c>
    </row>
    <row r="11" customFormat="false" ht="19.5" hidden="false" customHeight="true" outlineLevel="0" collapsed="false">
      <c r="A11" s="6" t="n">
        <v>7</v>
      </c>
      <c r="B11" s="6" t="s">
        <v>196</v>
      </c>
      <c r="C11" s="6" t="s">
        <v>211</v>
      </c>
      <c r="D11" s="6" t="s">
        <v>209</v>
      </c>
      <c r="E11" s="6" t="s">
        <v>212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95548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6" min="4" style="0" width="22"/>
  </cols>
  <sheetData>
    <row r="1" customFormat="false" ht="33.75" hidden="false" customHeight="true" outlineLevel="0" collapsed="false">
      <c r="A1" s="1" t="s">
        <v>213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8</v>
      </c>
      <c r="B4" s="5" t="s">
        <v>215</v>
      </c>
      <c r="C4" s="5" t="s">
        <v>216</v>
      </c>
      <c r="D4" s="5" t="s">
        <v>217</v>
      </c>
      <c r="E4" s="5" t="s">
        <v>218</v>
      </c>
      <c r="F4" s="5" t="s">
        <v>22</v>
      </c>
    </row>
    <row r="5" customFormat="false" ht="19.5" hidden="false" customHeight="true" outlineLevel="0" collapsed="false">
      <c r="A5" s="6" t="n">
        <v>1</v>
      </c>
      <c r="B5" s="6" t="s">
        <v>26</v>
      </c>
      <c r="C5" s="6" t="s">
        <v>219</v>
      </c>
      <c r="D5" s="6" t="s">
        <v>25</v>
      </c>
      <c r="E5" s="6" t="s">
        <v>220</v>
      </c>
      <c r="F5" s="6" t="s">
        <v>221</v>
      </c>
    </row>
    <row r="6" customFormat="false" ht="19.5" hidden="false" customHeight="true" outlineLevel="0" collapsed="false">
      <c r="A6" s="7" t="n">
        <v>2</v>
      </c>
      <c r="B6" s="7" t="s">
        <v>222</v>
      </c>
      <c r="C6" s="7" t="s">
        <v>223</v>
      </c>
      <c r="D6" s="7" t="s">
        <v>224</v>
      </c>
      <c r="E6" s="7" t="s">
        <v>225</v>
      </c>
      <c r="F6" s="7" t="s">
        <v>226</v>
      </c>
    </row>
    <row r="7" customFormat="false" ht="19.5" hidden="false" customHeight="true" outlineLevel="0" collapsed="false">
      <c r="A7" s="6" t="n">
        <v>3</v>
      </c>
      <c r="B7" s="6" t="s">
        <v>94</v>
      </c>
      <c r="C7" s="6" t="s">
        <v>227</v>
      </c>
      <c r="D7" s="6" t="s">
        <v>228</v>
      </c>
      <c r="E7" s="6" t="s">
        <v>229</v>
      </c>
      <c r="F7" s="6" t="s">
        <v>230</v>
      </c>
    </row>
    <row r="8" customFormat="false" ht="19.5" hidden="false" customHeight="true" outlineLevel="0" collapsed="false">
      <c r="A8" s="7" t="n">
        <v>4</v>
      </c>
      <c r="B8" s="7" t="s">
        <v>231</v>
      </c>
      <c r="C8" s="7" t="s">
        <v>232</v>
      </c>
      <c r="D8" s="7" t="s">
        <v>233</v>
      </c>
      <c r="E8" s="7" t="s">
        <v>234</v>
      </c>
      <c r="F8" s="7" t="s">
        <v>235</v>
      </c>
    </row>
    <row r="9" customFormat="false" ht="19.5" hidden="false" customHeight="true" outlineLevel="0" collapsed="false">
      <c r="A9" s="6" t="n">
        <v>5</v>
      </c>
      <c r="B9" s="6" t="s">
        <v>236</v>
      </c>
      <c r="C9" s="6" t="s">
        <v>237</v>
      </c>
      <c r="D9" s="6" t="s">
        <v>30</v>
      </c>
      <c r="E9" s="6" t="s">
        <v>238</v>
      </c>
      <c r="F9" s="6" t="s">
        <v>239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240</v>
      </c>
      <c r="B1" s="1"/>
      <c r="C1" s="1"/>
      <c r="D1" s="1"/>
    </row>
    <row r="2" customFormat="false" ht="15" hidden="false" customHeight="false" outlineLevel="0" collapsed="false">
      <c r="A2" s="2" t="s">
        <v>241</v>
      </c>
      <c r="B2" s="2"/>
      <c r="C2" s="2"/>
      <c r="D2" s="2"/>
    </row>
    <row r="4" customFormat="false" ht="27.75" hidden="false" customHeight="true" outlineLevel="0" collapsed="false">
      <c r="A4" s="5" t="s">
        <v>242</v>
      </c>
      <c r="B4" s="5" t="s">
        <v>243</v>
      </c>
      <c r="C4" s="5" t="s">
        <v>124</v>
      </c>
      <c r="D4" s="5" t="s">
        <v>244</v>
      </c>
    </row>
    <row r="5" customFormat="false" ht="36" hidden="false" customHeight="true" outlineLevel="0" collapsed="false">
      <c r="A5" s="8" t="s">
        <v>245</v>
      </c>
      <c r="B5" s="8" t="s">
        <v>246</v>
      </c>
      <c r="C5" s="9" t="s">
        <v>247</v>
      </c>
      <c r="D5" s="9" t="s">
        <v>248</v>
      </c>
    </row>
    <row r="6" customFormat="false" ht="36" hidden="false" customHeight="true" outlineLevel="0" collapsed="false">
      <c r="A6" s="10" t="s">
        <v>249</v>
      </c>
      <c r="B6" s="10" t="s">
        <v>250</v>
      </c>
      <c r="C6" s="11" t="s">
        <v>251</v>
      </c>
      <c r="D6" s="11" t="s">
        <v>248</v>
      </c>
    </row>
    <row r="7" customFormat="false" ht="36" hidden="false" customHeight="true" outlineLevel="0" collapsed="false">
      <c r="A7" s="12" t="s">
        <v>252</v>
      </c>
      <c r="B7" s="12" t="s">
        <v>253</v>
      </c>
      <c r="C7" s="13" t="s">
        <v>254</v>
      </c>
      <c r="D7" s="13" t="s">
        <v>255</v>
      </c>
    </row>
    <row r="8" customFormat="false" ht="36" hidden="false" customHeight="true" outlineLevel="0" collapsed="false">
      <c r="A8" s="14" t="s">
        <v>256</v>
      </c>
      <c r="B8" s="14" t="s">
        <v>257</v>
      </c>
      <c r="C8" s="15" t="s">
        <v>258</v>
      </c>
      <c r="D8" s="15" t="s">
        <v>259</v>
      </c>
    </row>
    <row r="9" customFormat="false" ht="36" hidden="false" customHeight="true" outlineLevel="0" collapsed="false">
      <c r="A9" s="8" t="s">
        <v>260</v>
      </c>
      <c r="B9" s="8" t="s">
        <v>261</v>
      </c>
      <c r="C9" s="9" t="s">
        <v>262</v>
      </c>
      <c r="D9" s="9" t="s">
        <v>263</v>
      </c>
    </row>
    <row r="10" customFormat="false" ht="36" hidden="false" customHeight="true" outlineLevel="0" collapsed="false">
      <c r="A10" s="10" t="s">
        <v>264</v>
      </c>
      <c r="B10" s="10" t="s">
        <v>250</v>
      </c>
      <c r="C10" s="11" t="s">
        <v>265</v>
      </c>
      <c r="D10" s="11" t="s">
        <v>263</v>
      </c>
    </row>
    <row r="11" customFormat="false" ht="36" hidden="false" customHeight="true" outlineLevel="0" collapsed="false">
      <c r="A11" s="16" t="s">
        <v>266</v>
      </c>
      <c r="B11" s="16" t="s">
        <v>267</v>
      </c>
      <c r="C11" s="17" t="s">
        <v>268</v>
      </c>
      <c r="D11" s="17" t="s">
        <v>269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2026-04-02T03:55:19Z</dcterms:created>
  <dc:creator>openpyxl</dc:creator>
  <dc:description/>
  <dc:language>en-US</dc:language>
  <cp:lastModifiedBy/>
  <dcterms:modified xsi:type="dcterms:W3CDTF">2026-04-02T03:55:19Z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