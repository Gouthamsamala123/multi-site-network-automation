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Site Inventory" sheetId="2" state="visible" r:id="rId4"/>
    <sheet name="IP Addressing" sheetId="3" state="visible" r:id="rId5"/>
    <sheet name="VLAN Mapping" sheetId="4" state="visible" r:id="rId6"/>
    <sheet name="Routing" sheetId="5" state="visible" r:id="rId7"/>
    <sheet name="Security Policies" sheetId="6" state="visible" r:id="rId8"/>
    <sheet name="Config Templates" sheetId="7" state="visible" r:id="rId9"/>
    <sheet name="Naming Standards" sheetId="8" state="visible" r:id="rId10"/>
    <sheet name="Workflow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<sst xmlns="http://schemas.openxmlformats.org/spreadsheetml/2006/main" count="712" uniqueCount="422">
  <si>
    <t xml:space="preserve">NETWORK DEPLOYMENT AUTOMATION – MULTI-SITE DASHBOARD</t>
  </si>
  <si>
    <t xml:space="preserve">Envista Holdings – Standardized Infrastructure-as-Code Deployment Framework  |  Auto-refreshing summary</t>
  </si>
  <si>
    <t xml:space="preserve">Total Sites</t>
  </si>
  <si>
    <t xml:space="preserve">Total Devices</t>
  </si>
  <si>
    <t xml:space="preserve">Total VLANs</t>
  </si>
  <si>
    <t xml:space="preserve">Subnets Planned</t>
  </si>
  <si>
    <t xml:space="preserve">Config Templates</t>
  </si>
  <si>
    <t xml:space="preserve">DEPLOYMENT STATUS BY SITE</t>
  </si>
  <si>
    <t xml:space="preserve">Site Name</t>
  </si>
  <si>
    <t xml:space="preserve">Location</t>
  </si>
  <si>
    <t xml:space="preserve">Devices</t>
  </si>
  <si>
    <t xml:space="preserve">VLANs</t>
  </si>
  <si>
    <t xml:space="preserve">Status</t>
  </si>
  <si>
    <t xml:space="preserve">Config Generated</t>
  </si>
  <si>
    <t xml:space="preserve">Last Updated</t>
  </si>
  <si>
    <t xml:space="preserve">Owner</t>
  </si>
  <si>
    <t xml:space="preserve">Notes</t>
  </si>
  <si>
    <t xml:space="preserve">COLOR LEGEND</t>
  </si>
  <si>
    <t xml:space="preserve">User Input Cell – Fill in yellow cells</t>
  </si>
  <si>
    <t xml:space="preserve">Auto-Calculated – Formula-driven, do not edit</t>
  </si>
  <si>
    <t xml:space="preserve">Reference Data – Pulled from another sheet</t>
  </si>
  <si>
    <t xml:space="preserve">Validation Error – Needs correction</t>
  </si>
  <si>
    <t xml:space="preserve">SITE INVENTORY &amp; DEVICE REGISTRY</t>
  </si>
  <si>
    <t xml:space="preserve">One row per device. Yellow cells = user input. Green cells = auto-calculated. Dropdowns enforced for Device Type and Status.</t>
  </si>
  <si>
    <t xml:space="preserve">#</t>
  </si>
  <si>
    <t xml:space="preserve">Site Location</t>
  </si>
  <si>
    <t xml:space="preserve">Device Hostname</t>
  </si>
  <si>
    <t xml:space="preserve">Device Type</t>
  </si>
  <si>
    <t xml:space="preserve">Management IP</t>
  </si>
  <si>
    <t xml:space="preserve">Management VLAN</t>
  </si>
  <si>
    <t xml:space="preserve">Management Subnet</t>
  </si>
  <si>
    <t xml:space="preserve">Gateway</t>
  </si>
  <si>
    <t xml:space="preserve">ISP Circuit ID</t>
  </si>
  <si>
    <t xml:space="preserve">Serial Number</t>
  </si>
  <si>
    <t xml:space="preserve">Stack Priority</t>
  </si>
  <si>
    <t xml:space="preserve">HA Role</t>
  </si>
  <si>
    <t xml:space="preserve">Deployment Status</t>
  </si>
  <si>
    <t xml:space="preserve">Versah</t>
  </si>
  <si>
    <t xml:space="preserve">CHE – Remote</t>
  </si>
  <si>
    <t xml:space="preserve">sw-ver-us-mdf-1</t>
  </si>
  <si>
    <t xml:space="preserve">Switch</t>
  </si>
  <si>
    <t xml:space="preserve">10.246.233.225</t>
  </si>
  <si>
    <t xml:space="preserve">5</t>
  </si>
  <si>
    <t xml:space="preserve">10.246.233.224/27</t>
  </si>
  <si>
    <t xml:space="preserve">CKT-VER-ISP1-001</t>
  </si>
  <si>
    <t xml:space="preserve">FCW2345G001</t>
  </si>
  <si>
    <t xml:space="preserve">15</t>
  </si>
  <si>
    <t xml:space="preserve">Stack Master</t>
  </si>
  <si>
    <t xml:space="preserve">Configured</t>
  </si>
  <si>
    <t xml:space="preserve">2-member stack</t>
  </si>
  <si>
    <t xml:space="preserve">sd-ver-us-mdf-1</t>
  </si>
  <si>
    <t xml:space="preserve">SD-WAN</t>
  </si>
  <si>
    <t xml:space="preserve">10.246.233.226</t>
  </si>
  <si>
    <t xml:space="preserve">FDO2345G001</t>
  </si>
  <si>
    <t xml:space="preserve">Primary</t>
  </si>
  <si>
    <t xml:space="preserve">Ordered</t>
  </si>
  <si>
    <t xml:space="preserve">VeloCloud Edge – ISP1</t>
  </si>
  <si>
    <t xml:space="preserve">sd-ver-us-mdf-2</t>
  </si>
  <si>
    <t xml:space="preserve">10.246.233.227</t>
  </si>
  <si>
    <t xml:space="preserve">CKT-VER-ISP2-002</t>
  </si>
  <si>
    <t xml:space="preserve">FDO2345G002</t>
  </si>
  <si>
    <t xml:space="preserve">Secondary</t>
  </si>
  <si>
    <t xml:space="preserve">VeloCloud Edge – ISP2</t>
  </si>
  <si>
    <t xml:space="preserve">ap-ver-us-01</t>
  </si>
  <si>
    <t xml:space="preserve">Access Point</t>
  </si>
  <si>
    <t xml:space="preserve">10.246.233.193</t>
  </si>
  <si>
    <t xml:space="preserve">9</t>
  </si>
  <si>
    <t xml:space="preserve">10.246.233.192/27</t>
  </si>
  <si>
    <t xml:space="preserve">Standalone</t>
  </si>
  <si>
    <t xml:space="preserve">Planning</t>
  </si>
  <si>
    <t xml:space="preserve">AP01</t>
  </si>
  <si>
    <t xml:space="preserve">ap-ver-us-02</t>
  </si>
  <si>
    <t xml:space="preserve">10.246.233.194</t>
  </si>
  <si>
    <t xml:space="preserve">AP02</t>
  </si>
  <si>
    <t xml:space="preserve">Nobel Biocare</t>
  </si>
  <si>
    <t xml:space="preserve">ZRH – Office</t>
  </si>
  <si>
    <t xml:space="preserve">sw-nob-ch-mdf-1</t>
  </si>
  <si>
    <t xml:space="preserve">10.247.100.1</t>
  </si>
  <si>
    <t xml:space="preserve">10.247.100.0/27</t>
  </si>
  <si>
    <t xml:space="preserve">CKT-NOB-ISP1-001</t>
  </si>
  <si>
    <t xml:space="preserve">FCW3456H001</t>
  </si>
  <si>
    <t xml:space="preserve">sd-nob-ch-mdf-1</t>
  </si>
  <si>
    <t xml:space="preserve">10.247.100.2</t>
  </si>
  <si>
    <t xml:space="preserve">FDO3456H001</t>
  </si>
  <si>
    <t xml:space="preserve">VeloCloud Edge</t>
  </si>
  <si>
    <t xml:space="preserve">sd-nob-ch-mdf-2</t>
  </si>
  <si>
    <t xml:space="preserve">10.247.100.3</t>
  </si>
  <si>
    <t xml:space="preserve">CKT-NOB-ISP2-002</t>
  </si>
  <si>
    <t xml:space="preserve">FDO3456H002</t>
  </si>
  <si>
    <t xml:space="preserve">ap-nob-ch-01</t>
  </si>
  <si>
    <t xml:space="preserve">10.247.100.33</t>
  </si>
  <si>
    <t xml:space="preserve">10.247.100.32/27</t>
  </si>
  <si>
    <t xml:space="preserve">ap-nob-ch-02</t>
  </si>
  <si>
    <t xml:space="preserve">10.247.100.34</t>
  </si>
  <si>
    <t xml:space="preserve">IP ADDRESSING PLAN – ALL SITES</t>
  </si>
  <si>
    <t xml:space="preserve">Comprehensive subnet allocation across all sites. One row per subnet. Usable Hosts and Broadcast are auto-calculated.</t>
  </si>
  <si>
    <t xml:space="preserve">CIDR Block (Site)</t>
  </si>
  <si>
    <t xml:space="preserve">VLAN ID</t>
  </si>
  <si>
    <t xml:space="preserve">VLAN Name</t>
  </si>
  <si>
    <t xml:space="preserve">Subnet (CIDR)</t>
  </si>
  <si>
    <t xml:space="preserve">Gateway IP</t>
  </si>
  <si>
    <t xml:space="preserve">First Usable</t>
  </si>
  <si>
    <t xml:space="preserve">Last Usable</t>
  </si>
  <si>
    <t xml:space="preserve">Prefix</t>
  </si>
  <si>
    <t xml:space="preserve">Subnet Mask</t>
  </si>
  <si>
    <t xml:space="preserve">Usable Hosts</t>
  </si>
  <si>
    <t xml:space="preserve">10.246.232.0/23</t>
  </si>
  <si>
    <t xml:space="preserve">User</t>
  </si>
  <si>
    <t xml:space="preserve">10.246.232.0/24</t>
  </si>
  <si>
    <t xml:space="preserve">10.246.232.1</t>
  </si>
  <si>
    <t xml:space="preserve">10.246.232.2</t>
  </si>
  <si>
    <t xml:space="preserve">10.246.232.254</t>
  </si>
  <si>
    <t xml:space="preserve">/24</t>
  </si>
  <si>
    <t xml:space="preserve">255.255.255.0</t>
  </si>
  <si>
    <t xml:space="preserve">Primary user data</t>
  </si>
  <si>
    <t xml:space="preserve">WIFI</t>
  </si>
  <si>
    <t xml:space="preserve">10.246.233.0/25</t>
  </si>
  <si>
    <t xml:space="preserve">10.246.233.1</t>
  </si>
  <si>
    <t xml:space="preserve">10.246.233.2</t>
  </si>
  <si>
    <t xml:space="preserve">10.246.233.126</t>
  </si>
  <si>
    <t xml:space="preserve">/25</t>
  </si>
  <si>
    <t xml:space="preserve">255.255.255.128</t>
  </si>
  <si>
    <t xml:space="preserve">Wireless clients</t>
  </si>
  <si>
    <t xml:space="preserve">IOT-INTERNAL</t>
  </si>
  <si>
    <t xml:space="preserve">10.246.233.128/27</t>
  </si>
  <si>
    <t xml:space="preserve">10.246.233.129</t>
  </si>
  <si>
    <t xml:space="preserve">10.246.233.130</t>
  </si>
  <si>
    <t xml:space="preserve">10.246.233.158</t>
  </si>
  <si>
    <t xml:space="preserve">/27</t>
  </si>
  <si>
    <t xml:space="preserve">255.255.255.224</t>
  </si>
  <si>
    <t xml:space="preserve">IoT devices</t>
  </si>
  <si>
    <t xml:space="preserve">Transfer</t>
  </si>
  <si>
    <t xml:space="preserve">10.246.233.160/28</t>
  </si>
  <si>
    <t xml:space="preserve">10.246.233.161</t>
  </si>
  <si>
    <t xml:space="preserve">10.246.233.162</t>
  </si>
  <si>
    <t xml:space="preserve">10.246.233.174</t>
  </si>
  <si>
    <t xml:space="preserve">/28</t>
  </si>
  <si>
    <t xml:space="preserve">255.255.255.240</t>
  </si>
  <si>
    <t xml:space="preserve">SD-WAN interconnect</t>
  </si>
  <si>
    <t xml:space="preserve">AP</t>
  </si>
  <si>
    <t xml:space="preserve">10.246.233.222</t>
  </si>
  <si>
    <t xml:space="preserve">AP management</t>
  </si>
  <si>
    <t xml:space="preserve">Management</t>
  </si>
  <si>
    <t xml:space="preserve">10.246.233.254</t>
  </si>
  <si>
    <t xml:space="preserve">In-band mgmt</t>
  </si>
  <si>
    <t xml:space="preserve">10.247.100.0/23</t>
  </si>
  <si>
    <t xml:space="preserve">10.247.100.0/24</t>
  </si>
  <si>
    <t xml:space="preserve">10.247.100.254</t>
  </si>
  <si>
    <t xml:space="preserve">10.247.101.0/25</t>
  </si>
  <si>
    <t xml:space="preserve">10.247.101.1</t>
  </si>
  <si>
    <t xml:space="preserve">10.247.101.2</t>
  </si>
  <si>
    <t xml:space="preserve">10.247.101.126</t>
  </si>
  <si>
    <t xml:space="preserve">10.247.101.128/27</t>
  </si>
  <si>
    <t xml:space="preserve">10.247.101.129</t>
  </si>
  <si>
    <t xml:space="preserve">10.247.101.130</t>
  </si>
  <si>
    <t xml:space="preserve">10.247.101.158</t>
  </si>
  <si>
    <t xml:space="preserve">10.247.101.160/28</t>
  </si>
  <si>
    <t xml:space="preserve">10.247.101.161</t>
  </si>
  <si>
    <t xml:space="preserve">10.247.101.162</t>
  </si>
  <si>
    <t xml:space="preserve">10.247.101.174</t>
  </si>
  <si>
    <t xml:space="preserve">VLAN MAPPING – STANDARD TEMPLATE</t>
  </si>
  <si>
    <t xml:space="preserve">Master VLAN definitions applied across all sites. Site-specific overrides noted in the IP Addressing sheet.</t>
  </si>
  <si>
    <t xml:space="preserve">Site</t>
  </si>
  <si>
    <t xml:space="preserve">Description</t>
  </si>
  <si>
    <t xml:space="preserve">Subnet Template</t>
  </si>
  <si>
    <t xml:space="preserve">Type</t>
  </si>
  <si>
    <t xml:space="preserve">DHCP Scope</t>
  </si>
  <si>
    <t xml:space="preserve">Voice Enabled</t>
  </si>
  <si>
    <t xml:space="preserve">Security Zone</t>
  </si>
  <si>
    <t xml:space="preserve">ALL SITES</t>
  </si>
  <si>
    <t xml:space="preserve">VER-TRANSFER</t>
  </si>
  <si>
    <t xml:space="preserve">Transfer network between SD-WAN and switch</t>
  </si>
  <si>
    <t xml:space="preserve">x.x.x.160/28</t>
  </si>
  <si>
    <t xml:space="preserve">No</t>
  </si>
  <si>
    <t xml:space="preserve">Trust</t>
  </si>
  <si>
    <t xml:space="preserve">VER-MANAGEMENT</t>
  </si>
  <si>
    <t xml:space="preserve">In-band management for network devices</t>
  </si>
  <si>
    <t xml:space="preserve">x.x.x.224/27</t>
  </si>
  <si>
    <t xml:space="preserve">VER-AP</t>
  </si>
  <si>
    <t xml:space="preserve">Access Point management and provisioning</t>
  </si>
  <si>
    <t xml:space="preserve">x.x.x.192/27</t>
  </si>
  <si>
    <t xml:space="preserve">Yes</t>
  </si>
  <si>
    <t xml:space="preserve">VER-USER</t>
  </si>
  <si>
    <t xml:space="preserve">Primary user data VLAN</t>
  </si>
  <si>
    <t xml:space="preserve">x.x.x.0/24</t>
  </si>
  <si>
    <t xml:space="preserve">Data</t>
  </si>
  <si>
    <t xml:space="preserve">Untrust</t>
  </si>
  <si>
    <t xml:space="preserve">VER-WIFI</t>
  </si>
  <si>
    <t xml:space="preserve">Wireless client VLAN (corporate SSID)</t>
  </si>
  <si>
    <t xml:space="preserve">x.x.x.0/25</t>
  </si>
  <si>
    <t xml:space="preserve">Wireless</t>
  </si>
  <si>
    <t xml:space="preserve">VER-IOT-INTERNAL</t>
  </si>
  <si>
    <t xml:space="preserve">IoT devices (printers, cameras, sensors)</t>
  </si>
  <si>
    <t xml:space="preserve">x.x.x.128/27</t>
  </si>
  <si>
    <t xml:space="preserve">IoT</t>
  </si>
  <si>
    <t xml:space="preserve">VER-GUEST</t>
  </si>
  <si>
    <t xml:space="preserve">Guest wireless (L2 extended)</t>
  </si>
  <si>
    <t xml:space="preserve">L2 Only</t>
  </si>
  <si>
    <t xml:space="preserve">Guest</t>
  </si>
  <si>
    <t xml:space="preserve">Central</t>
  </si>
  <si>
    <t xml:space="preserve">VER-CORP</t>
  </si>
  <si>
    <t xml:space="preserve">Corporate wireless (L2 extended)</t>
  </si>
  <si>
    <t xml:space="preserve">ROUTING TABLE – ALL SITES</t>
  </si>
  <si>
    <t xml:space="preserve">Static and dynamic routing entries per site. Includes default routes to SD-WAN and any overlay/underlay routes.</t>
  </si>
  <si>
    <t xml:space="preserve">Destination Network</t>
  </si>
  <si>
    <t xml:space="preserve">Next Hop</t>
  </si>
  <si>
    <t xml:space="preserve">Protocol</t>
  </si>
  <si>
    <t xml:space="preserve">AD/Metric</t>
  </si>
  <si>
    <t xml:space="preserve">Interface</t>
  </si>
  <si>
    <t xml:space="preserve">0.0.0.0/0</t>
  </si>
  <si>
    <t xml:space="preserve">Static</t>
  </si>
  <si>
    <t xml:space="preserve">1/0</t>
  </si>
  <si>
    <t xml:space="preserve">Vlan3</t>
  </si>
  <si>
    <t xml:space="preserve">Default route to SD-WAN via Transfer</t>
  </si>
  <si>
    <t xml:space="preserve">ISP1-GW</t>
  </si>
  <si>
    <t xml:space="preserve">GE5</t>
  </si>
  <si>
    <t xml:space="preserve">WAN default to ISP1</t>
  </si>
  <si>
    <t xml:space="preserve">ISP2-GW</t>
  </si>
  <si>
    <t xml:space="preserve">GE6</t>
  </si>
  <si>
    <t xml:space="preserve">WAN default to ISP2</t>
  </si>
  <si>
    <t xml:space="preserve">GE2</t>
  </si>
  <si>
    <t xml:space="preserve">Site LAN via switch</t>
  </si>
  <si>
    <t xml:space="preserve">Default route to SD-WAN</t>
  </si>
  <si>
    <t xml:space="preserve">SECURITY POLICIES &amp; ACLs</t>
  </si>
  <si>
    <t xml:space="preserve">Firewall rules, ACLs, and security zone definitions per site. Applied to Palo Alto / Cisco IOS.</t>
  </si>
  <si>
    <t xml:space="preserve">Source Zone</t>
  </si>
  <si>
    <t xml:space="preserve">Dest Zone</t>
  </si>
  <si>
    <t xml:space="preserve">Source Network</t>
  </si>
  <si>
    <t xml:space="preserve">Dest Network</t>
  </si>
  <si>
    <t xml:space="preserve">Service/Port</t>
  </si>
  <si>
    <t xml:space="preserve">Action</t>
  </si>
  <si>
    <t xml:space="preserve">Logging</t>
  </si>
  <si>
    <t xml:space="preserve">VLAN 10 (User)</t>
  </si>
  <si>
    <t xml:space="preserve">Any</t>
  </si>
  <si>
    <t xml:space="preserve">Allow</t>
  </si>
  <si>
    <t xml:space="preserve">Users to Internet via Zscaler</t>
  </si>
  <si>
    <t xml:space="preserve">VLAN 5 (Mgmt)</t>
  </si>
  <si>
    <t xml:space="preserve">ICMP/SSH/SNMP</t>
  </si>
  <si>
    <t xml:space="preserve">Management access to user devices</t>
  </si>
  <si>
    <t xml:space="preserve">VLAN 188 (IoT)</t>
  </si>
  <si>
    <t xml:space="preserve">HTTPS/443</t>
  </si>
  <si>
    <t xml:space="preserve">IoT cloud connectivity</t>
  </si>
  <si>
    <t xml:space="preserve">Deny</t>
  </si>
  <si>
    <t xml:space="preserve">Block IoT to User lateral movement</t>
  </si>
  <si>
    <t xml:space="preserve">VLAN 192 (Guest)</t>
  </si>
  <si>
    <t xml:space="preserve">HTTP/HTTPS</t>
  </si>
  <si>
    <t xml:space="preserve">Guest internet only</t>
  </si>
  <si>
    <t xml:space="preserve">Any RFC1918</t>
  </si>
  <si>
    <t xml:space="preserve">Block guest to internal</t>
  </si>
  <si>
    <t xml:space="preserve">SSH/22</t>
  </si>
  <si>
    <t xml:space="preserve">Block unauthorized mgmt access</t>
  </si>
  <si>
    <t xml:space="preserve">CONFIGURATION TEMPLATES – JINJA2 PLACEHOLDERS</t>
  </si>
  <si>
    <t xml:space="preserve">Map of all template variables used in automated config generation. These placeholders are replaced by values from the Excel sheets.</t>
  </si>
  <si>
    <t xml:space="preserve">Template Name</t>
  </si>
  <si>
    <t xml:space="preserve">Placeholder Variable</t>
  </si>
  <si>
    <t xml:space="preserve">Description / Maps To</t>
  </si>
  <si>
    <t xml:space="preserve">Example Value</t>
  </si>
  <si>
    <t xml:space="preserve">switch_base.j2</t>
  </si>
  <si>
    <t xml:space="preserve">{{ hostname }}</t>
  </si>
  <si>
    <t xml:space="preserve">Site Inventory → Device Hostname</t>
  </si>
  <si>
    <t xml:space="preserve">{{ domain_name }}</t>
  </si>
  <si>
    <t xml:space="preserve">Global constant</t>
  </si>
  <si>
    <t xml:space="preserve">envistaco.com</t>
  </si>
  <si>
    <t xml:space="preserve">{{ mgmt_ip }}</t>
  </si>
  <si>
    <t xml:space="preserve">Site Inventory → Management IP</t>
  </si>
  <si>
    <t xml:space="preserve">{{ mgmt_mask }}</t>
  </si>
  <si>
    <t xml:space="preserve">IP Addressing → Subnet Mask (VLAN 5)</t>
  </si>
  <si>
    <t xml:space="preserve">switch_vlans.j2</t>
  </si>
  <si>
    <t xml:space="preserve">{{ vlans }}</t>
  </si>
  <si>
    <t xml:space="preserve">VLAN Mapping → list of VLAN objects</t>
  </si>
  <si>
    <t xml:space="preserve">[{id:3, name:'TRANSFER'}, ...]</t>
  </si>
  <si>
    <t xml:space="preserve">{{ vlan.id }}</t>
  </si>
  <si>
    <t xml:space="preserve">VLAN Mapping → VLAN ID</t>
  </si>
  <si>
    <t xml:space="preserve">10</t>
  </si>
  <si>
    <t xml:space="preserve">{{ vlan.name }}</t>
  </si>
  <si>
    <t xml:space="preserve">VLAN Mapping → VLAN Name</t>
  </si>
  <si>
    <t xml:space="preserve">switch_svi.j2</t>
  </si>
  <si>
    <t xml:space="preserve">{{ svi.ip }}</t>
  </si>
  <si>
    <t xml:space="preserve">IP Addressing → Gateway IP</t>
  </si>
  <si>
    <t xml:space="preserve">{{ svi.mask }}</t>
  </si>
  <si>
    <t xml:space="preserve">IP Addressing → Subnet Mask</t>
  </si>
  <si>
    <t xml:space="preserve">{{ svi.vlan_id }}</t>
  </si>
  <si>
    <t xml:space="preserve">IP Addressing → VLAN ID</t>
  </si>
  <si>
    <t xml:space="preserve">switch_uplinks.j2</t>
  </si>
  <si>
    <t xml:space="preserve">{{ uplinks }}</t>
  </si>
  <si>
    <t xml:space="preserve">Interface list for SD-WAN trunks</t>
  </si>
  <si>
    <t xml:space="preserve">[{intf:'gi1/0/1', peer:'sd-mdf-1'}]</t>
  </si>
  <si>
    <t xml:space="preserve">switch_aaa.j2</t>
  </si>
  <si>
    <t xml:space="preserve">{{ tacacs_server }}</t>
  </si>
  <si>
    <t xml:space="preserve">ISE/TACACS server IP</t>
  </si>
  <si>
    <t xml:space="preserve">10.x.x.x</t>
  </si>
  <si>
    <t xml:space="preserve">{{ tacacs_key }}</t>
  </si>
  <si>
    <t xml:space="preserve">TACACS shared secret (encrypted)</t>
  </si>
  <si>
    <t xml:space="preserve">****</t>
  </si>
  <si>
    <t xml:space="preserve">switch_snmp.j2</t>
  </si>
  <si>
    <t xml:space="preserve">{{ snmp_community_ro }}</t>
  </si>
  <si>
    <t xml:space="preserve">SNMP read-only community</t>
  </si>
  <si>
    <t xml:space="preserve">{{ solarwinds_ip }}</t>
  </si>
  <si>
    <t xml:space="preserve">Solarwinds polling server</t>
  </si>
  <si>
    <t xml:space="preserve">velocloud_edge.j2</t>
  </si>
  <si>
    <t xml:space="preserve">{{ system_ip }}</t>
  </si>
  <si>
    <t xml:space="preserve">SD-WAN system IP</t>
  </si>
  <si>
    <t xml:space="preserve">{{ site_id }}</t>
  </si>
  <si>
    <t xml:space="preserve">SD-WAN site ID</t>
  </si>
  <si>
    <t xml:space="preserve">1001</t>
  </si>
  <si>
    <t xml:space="preserve">{{ isp1_gw }}</t>
  </si>
  <si>
    <t xml:space="preserve">ISP1 default gateway</t>
  </si>
  <si>
    <t xml:space="preserve">x.x.x.x</t>
  </si>
  <si>
    <t xml:space="preserve">{{ isp2_gw }}</t>
  </si>
  <si>
    <t xml:space="preserve">ISP2 default gateway</t>
  </si>
  <si>
    <t xml:space="preserve">paloalto_zones.j2</t>
  </si>
  <si>
    <t xml:space="preserve">{{ zones }}</t>
  </si>
  <si>
    <t xml:space="preserve">Security Policies → zone list</t>
  </si>
  <si>
    <t xml:space="preserve">Trust, Untrust, IoT, Guest</t>
  </si>
  <si>
    <t xml:space="preserve">NAMING CONVENTION STANDARDS</t>
  </si>
  <si>
    <t xml:space="preserve">Enterprise naming standards for hostnames, VLANs, interfaces, and documentation. All sites must follow these conventions.</t>
  </si>
  <si>
    <t xml:space="preserve">Element</t>
  </si>
  <si>
    <t xml:space="preserve">Convention Pattern</t>
  </si>
  <si>
    <t xml:space="preserve">Example 1</t>
  </si>
  <si>
    <t xml:space="preserve">Example 2</t>
  </si>
  <si>
    <t xml:space="preserve">Switch Hostname</t>
  </si>
  <si>
    <t xml:space="preserve">{type}-{site}-{country}-{role}-{number}</t>
  </si>
  <si>
    <t xml:space="preserve">sw-nob-ch-idf-2</t>
  </si>
  <si>
    <t xml:space="preserve">type: sw/sd/ap/fw | role: mdf/idf</t>
  </si>
  <si>
    <t xml:space="preserve">SD-WAN Hostname</t>
  </si>
  <si>
    <t xml:space="preserve">sd-{site}-{country}-{role}-{number}</t>
  </si>
  <si>
    <t xml:space="preserve">Paired 1=Primary, 2=Secondary</t>
  </si>
  <si>
    <t xml:space="preserve">AP Hostname</t>
  </si>
  <si>
    <t xml:space="preserve">ap-{site}-{country}-{number}</t>
  </si>
  <si>
    <t xml:space="preserve">ap-nob-ch-04</t>
  </si>
  <si>
    <t xml:space="preserve">Sequential per site</t>
  </si>
  <si>
    <t xml:space="preserve">Firewall Hostname</t>
  </si>
  <si>
    <t xml:space="preserve">fw-{site}-{country}-{role}-{number}</t>
  </si>
  <si>
    <t xml:space="preserve">fw-ver-us-edge-1</t>
  </si>
  <si>
    <t xml:space="preserve">fw-nob-ch-dmz-1</t>
  </si>
  <si>
    <t xml:space="preserve">role: edge/dmz/internal</t>
  </si>
  <si>
    <t xml:space="preserve">{site_prefix}-{function}</t>
  </si>
  <si>
    <t xml:space="preserve">NOB-MANAGEMENT</t>
  </si>
  <si>
    <t xml:space="preserve">Uppercase, hyphen-separated</t>
  </si>
  <si>
    <t xml:space="preserve">Site CIDR</t>
  </si>
  <si>
    <t xml:space="preserve">10.{region}.{site_id}.0/{prefix}</t>
  </si>
  <si>
    <t xml:space="preserve">Region: 246=US, 247=EU</t>
  </si>
  <si>
    <t xml:space="preserve">CKT-{site}-{ISP}-{number}</t>
  </si>
  <si>
    <t xml:space="preserve">Unique per circuit</t>
  </si>
  <si>
    <t xml:space="preserve">Interface Desc</t>
  </si>
  <si>
    <t xml:space="preserve">{FUNCTION}-TO-{PEER}-{PORT}</t>
  </si>
  <si>
    <t xml:space="preserve">UPLINK-TO-SD-MDF-1-GE2</t>
  </si>
  <si>
    <t xml:space="preserve">AP-AP01</t>
  </si>
  <si>
    <t xml:space="preserve">Uppercase</t>
  </si>
  <si>
    <t xml:space="preserve">ACL Name</t>
  </si>
  <si>
    <t xml:space="preserve">{FUNCTION}-ACCESS</t>
  </si>
  <si>
    <t xml:space="preserve">VTY-ACCESS</t>
  </si>
  <si>
    <t xml:space="preserve">MGMT-IN</t>
  </si>
  <si>
    <t xml:space="preserve">Descriptive, uppercase</t>
  </si>
  <si>
    <t xml:space="preserve">SNMP Location</t>
  </si>
  <si>
    <t xml:space="preserve">{site}-{location}-{room}</t>
  </si>
  <si>
    <t xml:space="preserve">VER-CHE-Remote-MDF</t>
  </si>
  <si>
    <t xml:space="preserve">NOB-ZRH-Office-MDF</t>
  </si>
  <si>
    <t xml:space="preserve">Match physical location</t>
  </si>
  <si>
    <t xml:space="preserve">DEPLOYMENT WORKFLOW &amp; AUTOMATION GUIDE</t>
  </si>
  <si>
    <t xml:space="preserve">Step-by-step process from planning to production. Integrates Excel input with Jinja2 templates and Ansible playbooks.</t>
  </si>
  <si>
    <t xml:space="preserve">DEPLOYMENT LIFECYCLE</t>
  </si>
  <si>
    <t xml:space="preserve">Step</t>
  </si>
  <si>
    <t xml:space="preserve">Phase</t>
  </si>
  <si>
    <t xml:space="preserve">STEP 1</t>
  </si>
  <si>
    <t xml:space="preserve">PLAN &amp; POPULATE EXCEL</t>
  </si>
  <si>
    <t xml:space="preserve">Fill Site Inventory, IP Addressing, VLAN Mapping, Routing, and Security sheets with site-specific data. Use dropdowns and naming conventions. Dashboard auto-updates.</t>
  </si>
  <si>
    <t xml:space="preserve">Network Architect</t>
  </si>
  <si>
    <t xml:space="preserve">STEP 2</t>
  </si>
  <si>
    <t xml:space="preserve">VALIDATE INPUTS</t>
  </si>
  <si>
    <t xml:space="preserve">Run validation script (validate_inputs.py) against the Excel. Checks for: duplicate IPs, CIDR overlap, naming convention compliance, missing required fields, VLAN ID conflicts.</t>
  </si>
  <si>
    <t xml:space="preserve">STEP 3</t>
  </si>
  <si>
    <t xml:space="preserve">GENERATE CONFIGURATIONS</t>
  </si>
  <si>
    <t xml:space="preserve">Run config generator (generate_configs.py) which reads Excel via openpyxl, maps data to Jinja2 templates, and produces per-device config files in /output/{site}/{hostname}.cfg.</t>
  </si>
  <si>
    <t xml:space="preserve">Automation Engineer</t>
  </si>
  <si>
    <t xml:space="preserve">STEP 4</t>
  </si>
  <si>
    <t xml:space="preserve">REVIEW &amp; APPROVE</t>
  </si>
  <si>
    <t xml:space="preserve">Peer review generated configs. Diff against golden baselines. Approve via change management (ServiceNow). Attach generated configs to the change ticket.</t>
  </si>
  <si>
    <t xml:space="preserve">Team Lead / Approver</t>
  </si>
  <si>
    <t xml:space="preserve">STEP 5</t>
  </si>
  <si>
    <t xml:space="preserve">DEPLOY (ANSIBLE)</t>
  </si>
  <si>
    <t xml:space="preserve">Execute Ansible playbook (deploy_site.yml) which pushes configs via SSH/NETCONF. Supports dry-run mode (--check) for pre-validation. Logs output per device.</t>
  </si>
  <si>
    <t xml:space="preserve">STEP 6</t>
  </si>
  <si>
    <t xml:space="preserve">VALIDATE &amp; TEST</t>
  </si>
  <si>
    <t xml:space="preserve">Run post-deployment checks: interface status, VLAN verification, routing table, TACACS auth, SNMP polling, failover testing. Update Excel status to 'Validated'.</t>
  </si>
  <si>
    <t xml:space="preserve">Network Engineer</t>
  </si>
  <si>
    <t xml:space="preserve">STEP 7</t>
  </si>
  <si>
    <t xml:space="preserve">PRODUCTION HANDOFF</t>
  </si>
  <si>
    <t xml:space="preserve">Update Dashboard status to 'Production'. Add to Solarwinds monitoring. Close ServiceNow task. Archive configs in Git repository.</t>
  </si>
  <si>
    <t xml:space="preserve">NOC Team / Network Team</t>
  </si>
  <si>
    <t xml:space="preserve">AUTOMATION ARCHITECTURE</t>
  </si>
  <si>
    <t xml:space="preserve">▶</t>
  </si>
  <si>
    <t xml:space="preserve">Excel Workbook</t>
  </si>
  <si>
    <t xml:space="preserve">Single source of truth for all site data. Operators fill yellow cells only.</t>
  </si>
  <si>
    <t xml:space="preserve">Python + openpyxl</t>
  </si>
  <si>
    <t xml:space="preserve">Reads Excel sheets, validates data, builds site variable dictionaries.</t>
  </si>
  <si>
    <t xml:space="preserve">Jinja2 Templates</t>
  </si>
  <si>
    <t xml:space="preserve">Modular templates: switch_base.j2, switch_vlans.j2, switch_svi.j2, sdwan_base.j2, paloalto_zones.j2</t>
  </si>
  <si>
    <t xml:space="preserve">Config Output</t>
  </si>
  <si>
    <t xml:space="preserve">Per-device .cfg files organized by site: /output/{site_name}/{hostname}.cfg</t>
  </si>
  <si>
    <t xml:space="preserve">Ansible Playbook</t>
  </si>
  <si>
    <t xml:space="preserve">deploy_site.yml – pushes configs via ios_config / viptela modules. Supports --check mode.</t>
  </si>
  <si>
    <t xml:space="preserve">Git Repository</t>
  </si>
  <si>
    <t xml:space="preserve">Version-controlled configs. Every generation creates a commit with timestamp.</t>
  </si>
  <si>
    <t xml:space="preserve">ServiceNow</t>
  </si>
  <si>
    <t xml:space="preserve">Change tickets link to generated configs. Deployment status synced to Excel.</t>
  </si>
  <si>
    <t xml:space="preserve">BUSINESS BENEFITS</t>
  </si>
  <si>
    <t xml:space="preserve">✓</t>
  </si>
  <si>
    <t xml:space="preserve">Time Savings</t>
  </si>
  <si>
    <t xml:space="preserve">Reduce per-site deployment time from ~25 hours manual to ~4 hours automated (84% reduction)</t>
  </si>
  <si>
    <t xml:space="preserve">Standardization</t>
  </si>
  <si>
    <t xml:space="preserve">Every site gets identical baseline config. No drift, no missed steps, no copy-paste errors.</t>
  </si>
  <si>
    <t xml:space="preserve">Error Reduction</t>
  </si>
  <si>
    <t xml:space="preserve">Validation layer catches IP conflicts, naming violations, and missing fields before deployment.</t>
  </si>
  <si>
    <t xml:space="preserve">Scalability</t>
  </si>
  <si>
    <t xml:space="preserve">Add a new site by filling one row in Excel. Templates handle the rest. 10 sites or 100 – same effort.</t>
  </si>
  <si>
    <t xml:space="preserve">Audit Trail</t>
  </si>
  <si>
    <t xml:space="preserve">Git-versioned configs + ServiceNow integration = complete deployment history for compliance.</t>
  </si>
  <si>
    <t xml:space="preserve">Reusability</t>
  </si>
  <si>
    <t xml:space="preserve">Templates work for any Envista site worldwide. Regional variables (timezone, ISP) are parameterized.</t>
  </si>
  <si>
    <t xml:space="preserve">Operational Efficiency</t>
  </si>
  <si>
    <t xml:space="preserve">NOC gets standardized monitoring. Troubleshooting is faster when every site looks the same.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</si>
</sst>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9"/>
      <color rgb="FF888888"/>
      <name val="Arial"/>
      <family val="0"/>
      <charset val="1"/>
    </font>
    <font>
      <b val="true"/>
      <sz val="28"/>
      <color rgb="FF028090"/>
      <name val="Arial"/>
      <family val="0"/>
      <charset val="1"/>
    </font>
    <font>
      <b val="true"/>
      <sz val="28"/>
      <color rgb="FF2E75B6"/>
      <name val="Arial"/>
      <family val="0"/>
      <charset val="1"/>
    </font>
    <font>
      <b val="true"/>
      <sz val="28"/>
      <color rgb="FF4CAF50"/>
      <name val="Arial"/>
      <family val="0"/>
      <charset val="1"/>
    </font>
    <font>
      <b val="true"/>
      <sz val="28"/>
      <color rgb="FFFF9800"/>
      <name val="Arial"/>
      <family val="0"/>
      <charset val="1"/>
    </font>
    <font>
      <b val="true"/>
      <sz val="28"/>
      <color rgb="FFE91E6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color rgb="FFAAAAAA"/>
      <name val="Arial"/>
      <family val="0"/>
      <charset val="1"/>
    </font>
    <font>
      <sz val="9"/>
      <color rgb="FF333333"/>
      <name val="Arial"/>
      <family val="0"/>
      <charset val="1"/>
    </font>
    <font>
      <sz val="9"/>
      <color rgb="FF00000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27B0"/>
      <name val="Consolas"/>
      <family val="0"/>
      <charset val="1"/>
    </font>
    <font>
      <b val="true"/>
      <sz val="9"/>
      <color rgb="FF795548"/>
      <name val="Consolas"/>
      <family val="0"/>
      <charset val="1"/>
    </font>
    <font>
      <b val="true"/>
      <sz val="10"/>
      <color rgb="FF1B3A5C"/>
      <name val="Arial"/>
      <family val="0"/>
      <charset val="1"/>
    </font>
    <font>
      <b val="true"/>
      <sz val="10"/>
      <color rgb="FF333333"/>
      <name val="Arial"/>
      <family val="0"/>
      <charset val="1"/>
    </font>
    <font>
      <sz val="9"/>
      <color rgb="FF2E75B6"/>
      <name val="Arial"/>
      <family val="0"/>
      <charset val="1"/>
    </font>
    <font>
      <b val="true"/>
      <sz val="9"/>
      <color rgb="FF333333"/>
      <name val="Arial"/>
      <family val="0"/>
      <charset val="1"/>
    </font>
    <font>
      <b val="true"/>
      <sz val="10"/>
      <color rgb="FF4CAF50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8E8E8"/>
        <bgColor rgb="FFE2EFDA"/>
      </patternFill>
    </fill>
    <fill>
      <patternFill patternType="solid">
        <fgColor rgb="FF444444"/>
        <bgColor rgb="FF333333"/>
      </patternFill>
    </fill>
    <fill>
      <patternFill patternType="solid">
        <fgColor rgb="FFFFFFCC"/>
        <bgColor rgb="FFFFF2CC"/>
      </patternFill>
    </fill>
    <fill>
      <patternFill patternType="solid">
        <fgColor rgb="FFE2EFDA"/>
        <bgColor rgb="FFE8E8E8"/>
      </patternFill>
    </fill>
    <fill>
      <patternFill patternType="solid">
        <fgColor rgb="FFD6E4F0"/>
        <bgColor rgb="FFE8E8E8"/>
      </patternFill>
    </fill>
    <fill>
      <patternFill patternType="solid">
        <fgColor rgb="FFFCE4EC"/>
        <bgColor rgb="FFE8E8E8"/>
      </patternFill>
    </fill>
    <fill>
      <patternFill patternType="solid">
        <fgColor rgb="FFF2F2F2"/>
        <bgColor rgb="FFE8E8E8"/>
      </patternFill>
    </fill>
    <fill>
      <patternFill patternType="solid">
        <fgColor rgb="FFFFF2CC"/>
        <bgColor rgb="FFFFFFCC"/>
      </patternFill>
    </fill>
    <fill>
      <patternFill patternType="solid">
        <fgColor rgb="FFC6EFCE"/>
        <bgColor rgb="FFE2EFDA"/>
      </patternFill>
    </fill>
    <fill>
      <patternFill patternType="solid">
        <fgColor rgb="FF4CAF50"/>
        <bgColor rgb="FF888888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1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D6E4F0"/>
        </patternFill>
      </fill>
    </dxf>
  </dxfs>
  <colors>
    <indexedColors>
      <rgbColor rgb="FF000000"/>
      <rgbColor rgb="FFFFFFFF"/>
      <rgbColor rgb="FFE91E63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28090"/>
      <rgbColor rgb="FFCCCCCC"/>
      <rgbColor rgb="FF888888"/>
      <rgbColor rgb="FF9999FF"/>
      <rgbColor rgb="FF9C27B0"/>
      <rgbColor rgb="FFFFFFCC"/>
      <rgbColor rgb="FFE2EFDA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2CC"/>
      <rgbColor rgb="FFE8E8E8"/>
      <rgbColor rgb="FFFF99CC"/>
      <rgbColor rgb="FFCC99FF"/>
      <rgbColor rgb="FFFCE4EC"/>
      <rgbColor rgb="FF2E75B6"/>
      <rgbColor rgb="FF33CCCC"/>
      <rgbColor rgb="FF99CC00"/>
      <rgbColor rgb="FFFFCC00"/>
      <rgbColor rgb="FFFF9800"/>
      <rgbColor rgb="FFFF6600"/>
      <rgbColor rgb="FF666666"/>
      <rgbColor rgb="FFAAAAAA"/>
      <rgbColor rgb="FF1B3A5C"/>
      <rgbColor rgb="FF4CAF50"/>
      <rgbColor rgb="FF003300"/>
      <rgbColor rgb="FF444444"/>
      <rgbColor rgb="FF993300"/>
      <rgbColor rgb="FF795548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3A5C"/>
    <pageSetUpPr fitToPage="false"/>
  </sheetPr>
  <dimension ref="A1:J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2"/>
    <col collapsed="false" customWidth="true" hidden="false" outlineLevel="0" max="10" min="3" style="1" width="16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9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</row>
    <row r="5" customFormat="false" ht="33.75" hidden="false" customHeight="true" outlineLevel="0" collapsed="false">
      <c r="B5" s="5" t="n">
        <f aca="false">COUNTA('Site Inventory'!B5:B54)</f>
        <v>10</v>
      </c>
      <c r="C5" s="6" t="n">
        <f aca="false">COUNTA('Site Inventory'!D5:D104)</f>
        <v>10</v>
      </c>
      <c r="D5" s="7" t="n">
        <f aca="false">COUNTA('VLAN Mapping'!A5:A504)</f>
        <v>8</v>
      </c>
      <c r="E5" s="8" t="n">
        <f aca="false">COUNTA('IP Addressing'!C5:C504)</f>
        <v>10</v>
      </c>
      <c r="F5" s="9" t="n">
        <f aca="false">COUNTA('Config Templates'!A5:A54)</f>
        <v>20</v>
      </c>
    </row>
    <row r="8" customFormat="false" ht="21.75" hidden="false" customHeight="true" outlineLevel="0" collapsed="false">
      <c r="A8" s="10" t="s">
        <v>7</v>
      </c>
      <c r="B8" s="10"/>
      <c r="C8" s="10"/>
      <c r="D8" s="10"/>
      <c r="E8" s="10"/>
      <c r="F8" s="10"/>
      <c r="G8" s="10"/>
      <c r="H8" s="10"/>
      <c r="I8" s="10"/>
      <c r="J8" s="10"/>
    </row>
    <row r="9" customFormat="false" ht="15" hidden="false" customHeight="true" outlineLevel="0" collapsed="false">
      <c r="A9" s="11"/>
      <c r="B9" s="11" t="s">
        <v>8</v>
      </c>
      <c r="C9" s="11" t="s">
        <v>9</v>
      </c>
      <c r="D9" s="11" t="s">
        <v>10</v>
      </c>
      <c r="E9" s="11" t="s">
        <v>11</v>
      </c>
      <c r="F9" s="11" t="s">
        <v>12</v>
      </c>
      <c r="G9" s="11" t="s">
        <v>13</v>
      </c>
      <c r="H9" s="11" t="s">
        <v>14</v>
      </c>
      <c r="I9" s="11" t="s">
        <v>15</v>
      </c>
      <c r="J9" s="11" t="s">
        <v>16</v>
      </c>
    </row>
    <row r="10" customFormat="false" ht="15" hidden="false" customHeight="true" outlineLevel="0" collapsed="false">
      <c r="A10" s="12" t="n">
        <v>1</v>
      </c>
      <c r="B10" s="13" t="str">
        <f aca="false">IF('Site Inventory'!B5&lt;&gt;"", 'Site Inventory'!B5, "")</f>
        <v>Versah</v>
      </c>
      <c r="C10" s="13" t="str">
        <f aca="false">IF('Site Inventory'!C5&lt;&gt;"", 'Site Inventory'!C5, "")</f>
        <v>CHE – Remote</v>
      </c>
      <c r="D10" s="14" t="n">
        <f aca="false">COUNTIF('Site Inventory'!B$5:B$104, B10)</f>
        <v>5</v>
      </c>
      <c r="E10" s="13"/>
      <c r="F10" s="13"/>
      <c r="G10" s="13"/>
      <c r="H10" s="13"/>
      <c r="I10" s="13"/>
      <c r="J10" s="13"/>
    </row>
    <row r="11" customFormat="false" ht="15" hidden="false" customHeight="true" outlineLevel="0" collapsed="false">
      <c r="A11" s="12" t="n">
        <v>2</v>
      </c>
      <c r="B11" s="13" t="str">
        <f aca="false">IF('Site Inventory'!B6&lt;&gt;"", 'Site Inventory'!B6, "")</f>
        <v>Versah</v>
      </c>
      <c r="C11" s="13" t="str">
        <f aca="false">IF('Site Inventory'!C6&lt;&gt;"", 'Site Inventory'!C6, "")</f>
        <v>CHE – Remote</v>
      </c>
      <c r="D11" s="14" t="n">
        <f aca="false">COUNTIF('Site Inventory'!B$5:B$104, B11)</f>
        <v>5</v>
      </c>
      <c r="E11" s="13"/>
      <c r="F11" s="13"/>
      <c r="G11" s="13"/>
      <c r="H11" s="13"/>
      <c r="I11" s="13"/>
      <c r="J11" s="13"/>
    </row>
    <row r="12" customFormat="false" ht="15" hidden="false" customHeight="true" outlineLevel="0" collapsed="false">
      <c r="A12" s="12" t="n">
        <v>3</v>
      </c>
      <c r="B12" s="13" t="str">
        <f aca="false">IF('Site Inventory'!B7&lt;&gt;"", 'Site Inventory'!B7, "")</f>
        <v>Versah</v>
      </c>
      <c r="C12" s="13" t="str">
        <f aca="false">IF('Site Inventory'!C7&lt;&gt;"", 'Site Inventory'!C7, "")</f>
        <v>CHE – Remote</v>
      </c>
      <c r="D12" s="14" t="n">
        <f aca="false">COUNTIF('Site Inventory'!B$5:B$104, B12)</f>
        <v>5</v>
      </c>
      <c r="E12" s="13"/>
      <c r="F12" s="13"/>
      <c r="G12" s="13"/>
      <c r="H12" s="13"/>
      <c r="I12" s="13"/>
      <c r="J12" s="13"/>
    </row>
    <row r="13" customFormat="false" ht="15" hidden="false" customHeight="true" outlineLevel="0" collapsed="false">
      <c r="A13" s="12" t="n">
        <v>4</v>
      </c>
      <c r="B13" s="13" t="str">
        <f aca="false">IF('Site Inventory'!B8&lt;&gt;"", 'Site Inventory'!B8, "")</f>
        <v>Versah</v>
      </c>
      <c r="C13" s="13" t="str">
        <f aca="false">IF('Site Inventory'!C8&lt;&gt;"", 'Site Inventory'!C8, "")</f>
        <v>CHE – Remote</v>
      </c>
      <c r="D13" s="14" t="n">
        <f aca="false">COUNTIF('Site Inventory'!B$5:B$104, B13)</f>
        <v>5</v>
      </c>
      <c r="E13" s="13"/>
      <c r="F13" s="13"/>
      <c r="G13" s="13"/>
      <c r="H13" s="13"/>
      <c r="I13" s="13"/>
      <c r="J13" s="13"/>
    </row>
    <row r="14" customFormat="false" ht="15" hidden="false" customHeight="true" outlineLevel="0" collapsed="false">
      <c r="A14" s="12" t="n">
        <v>5</v>
      </c>
      <c r="B14" s="13" t="str">
        <f aca="false">IF('Site Inventory'!B9&lt;&gt;"", 'Site Inventory'!B9, "")</f>
        <v>Versah</v>
      </c>
      <c r="C14" s="13" t="str">
        <f aca="false">IF('Site Inventory'!C9&lt;&gt;"", 'Site Inventory'!C9, "")</f>
        <v>CHE – Remote</v>
      </c>
      <c r="D14" s="14" t="n">
        <f aca="false">COUNTIF('Site Inventory'!B$5:B$104, B14)</f>
        <v>5</v>
      </c>
      <c r="E14" s="13"/>
      <c r="F14" s="13"/>
      <c r="G14" s="13"/>
      <c r="H14" s="13"/>
      <c r="I14" s="13"/>
      <c r="J14" s="13"/>
    </row>
    <row r="15" customFormat="false" ht="15" hidden="false" customHeight="true" outlineLevel="0" collapsed="false">
      <c r="A15" s="12" t="n">
        <v>6</v>
      </c>
      <c r="B15" s="13" t="str">
        <f aca="false">IF('Site Inventory'!B10&lt;&gt;"", 'Site Inventory'!B10, "")</f>
        <v>Nobel Biocare</v>
      </c>
      <c r="C15" s="13" t="str">
        <f aca="false">IF('Site Inventory'!C10&lt;&gt;"", 'Site Inventory'!C10, "")</f>
        <v>ZRH – Office</v>
      </c>
      <c r="D15" s="14" t="n">
        <f aca="false">COUNTIF('Site Inventory'!B$5:B$104, B15)</f>
        <v>5</v>
      </c>
      <c r="E15" s="13"/>
      <c r="F15" s="13"/>
      <c r="G15" s="13"/>
      <c r="H15" s="13"/>
      <c r="I15" s="13"/>
      <c r="J15" s="13"/>
    </row>
    <row r="16" customFormat="false" ht="15" hidden="false" customHeight="true" outlineLevel="0" collapsed="false">
      <c r="A16" s="12" t="n">
        <v>7</v>
      </c>
      <c r="B16" s="13" t="str">
        <f aca="false">IF('Site Inventory'!B11&lt;&gt;"", 'Site Inventory'!B11, "")</f>
        <v>Nobel Biocare</v>
      </c>
      <c r="C16" s="13" t="str">
        <f aca="false">IF('Site Inventory'!C11&lt;&gt;"", 'Site Inventory'!C11, "")</f>
        <v>ZRH – Office</v>
      </c>
      <c r="D16" s="14" t="n">
        <f aca="false">COUNTIF('Site Inventory'!B$5:B$104, B16)</f>
        <v>5</v>
      </c>
      <c r="E16" s="13"/>
      <c r="F16" s="13"/>
      <c r="G16" s="13"/>
      <c r="H16" s="13"/>
      <c r="I16" s="13"/>
      <c r="J16" s="13"/>
    </row>
    <row r="17" customFormat="false" ht="15" hidden="false" customHeight="true" outlineLevel="0" collapsed="false">
      <c r="A17" s="12" t="n">
        <v>8</v>
      </c>
      <c r="B17" s="13" t="str">
        <f aca="false">IF('Site Inventory'!B12&lt;&gt;"", 'Site Inventory'!B12, "")</f>
        <v>Nobel Biocare</v>
      </c>
      <c r="C17" s="13" t="str">
        <f aca="false">IF('Site Inventory'!C12&lt;&gt;"", 'Site Inventory'!C12, "")</f>
        <v>ZRH – Office</v>
      </c>
      <c r="D17" s="14" t="n">
        <f aca="false">COUNTIF('Site Inventory'!B$5:B$104, B17)</f>
        <v>5</v>
      </c>
      <c r="E17" s="13"/>
      <c r="F17" s="13"/>
      <c r="G17" s="13"/>
      <c r="H17" s="13"/>
      <c r="I17" s="13"/>
      <c r="J17" s="13"/>
    </row>
    <row r="18" customFormat="false" ht="15" hidden="false" customHeight="true" outlineLevel="0" collapsed="false">
      <c r="A18" s="12" t="n">
        <v>9</v>
      </c>
      <c r="B18" s="13" t="str">
        <f aca="false">IF('Site Inventory'!B13&lt;&gt;"", 'Site Inventory'!B13, "")</f>
        <v>Nobel Biocare</v>
      </c>
      <c r="C18" s="13" t="str">
        <f aca="false">IF('Site Inventory'!C13&lt;&gt;"", 'Site Inventory'!C13, "")</f>
        <v>ZRH – Office</v>
      </c>
      <c r="D18" s="14" t="n">
        <f aca="false">COUNTIF('Site Inventory'!B$5:B$104, B18)</f>
        <v>5</v>
      </c>
      <c r="E18" s="13"/>
      <c r="F18" s="13"/>
      <c r="G18" s="13"/>
      <c r="H18" s="13"/>
      <c r="I18" s="13"/>
      <c r="J18" s="13"/>
    </row>
    <row r="19" customFormat="false" ht="15" hidden="false" customHeight="true" outlineLevel="0" collapsed="false">
      <c r="A19" s="12" t="n">
        <v>10</v>
      </c>
      <c r="B19" s="13" t="str">
        <f aca="false">IF('Site Inventory'!B14&lt;&gt;"", 'Site Inventory'!B14, "")</f>
        <v>Nobel Biocare</v>
      </c>
      <c r="C19" s="13" t="str">
        <f aca="false">IF('Site Inventory'!C14&lt;&gt;"", 'Site Inventory'!C14, "")</f>
        <v>ZRH – Office</v>
      </c>
      <c r="D19" s="14" t="n">
        <f aca="false">COUNTIF('Site Inventory'!B$5:B$104, B19)</f>
        <v>5</v>
      </c>
      <c r="E19" s="13"/>
      <c r="F19" s="13"/>
      <c r="G19" s="13"/>
      <c r="H19" s="13"/>
      <c r="I19" s="13"/>
      <c r="J19" s="13"/>
    </row>
    <row r="22" customFormat="false" ht="21.75" hidden="false" customHeight="true" outlineLevel="0" collapsed="false">
      <c r="A22" s="15" t="s">
        <v>17</v>
      </c>
      <c r="B22" s="15"/>
      <c r="C22" s="15"/>
      <c r="D22" s="15"/>
      <c r="E22" s="15"/>
      <c r="F22" s="15"/>
      <c r="G22" s="15"/>
      <c r="H22" s="15"/>
      <c r="I22" s="15"/>
      <c r="J22" s="15"/>
    </row>
    <row r="23" customFormat="false" ht="15" hidden="false" customHeight="true" outlineLevel="0" collapsed="false">
      <c r="B23" s="16"/>
      <c r="C23" s="17" t="s">
        <v>18</v>
      </c>
      <c r="D23" s="17"/>
      <c r="E23" s="17"/>
      <c r="F23" s="17"/>
    </row>
    <row r="24" customFormat="false" ht="15" hidden="false" customHeight="true" outlineLevel="0" collapsed="false">
      <c r="B24" s="18"/>
      <c r="C24" s="17" t="s">
        <v>19</v>
      </c>
      <c r="D24" s="17"/>
      <c r="E24" s="17"/>
      <c r="F24" s="17"/>
    </row>
    <row r="25" customFormat="false" ht="15" hidden="false" customHeight="true" outlineLevel="0" collapsed="false">
      <c r="B25" s="19"/>
      <c r="C25" s="17" t="s">
        <v>20</v>
      </c>
      <c r="D25" s="17"/>
      <c r="E25" s="17"/>
      <c r="F25" s="17"/>
    </row>
    <row r="26" customFormat="false" ht="15" hidden="false" customHeight="true" outlineLevel="0" collapsed="false">
      <c r="B26" s="20"/>
      <c r="C26" s="17" t="s">
        <v>21</v>
      </c>
      <c r="D26" s="17"/>
      <c r="E26" s="17"/>
      <c r="F26" s="17"/>
    </row>
  </sheetData>
  <mergeCells count="8">
    <mergeCell ref="A1:J1"/>
    <mergeCell ref="A2:J2"/>
    <mergeCell ref="A8:J8"/>
    <mergeCell ref="A22:J22"/>
    <mergeCell ref="C23:F23"/>
    <mergeCell ref="C24:F24"/>
    <mergeCell ref="C25:F25"/>
    <mergeCell ref="C26:F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28090"/>
    <pageSetUpPr fitToPage="fals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2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10" min="8" style="1" width="14"/>
    <col collapsed="false" customWidth="true" hidden="false" outlineLevel="0" max="11" min="11" style="1" width="18"/>
    <col collapsed="false" customWidth="true" hidden="false" outlineLevel="0" max="12" min="12" style="1" width="14"/>
    <col collapsed="false" customWidth="true" hidden="false" outlineLevel="0" max="14" min="13" style="1" width="16"/>
    <col collapsed="false" customWidth="true" hidden="false" outlineLevel="0" max="15" min="15" style="1" width="18"/>
  </cols>
  <sheetData>
    <row r="1" customFormat="false" ht="33.75" hidden="false" customHeight="true" outlineLevel="0" collapsed="false">
      <c r="A1" s="2" t="s">
        <v>22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9.5" hidden="false" customHeight="true" outlineLevel="0" collapsed="false">
      <c r="A2" s="3" t="s">
        <v>23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4" customFormat="false" ht="30" hidden="false" customHeight="true" outlineLevel="0" collapsed="false">
      <c r="A4" s="21" t="s">
        <v>24</v>
      </c>
      <c r="B4" s="21" t="s">
        <v>8</v>
      </c>
      <c r="C4" s="21" t="s">
        <v>25</v>
      </c>
      <c r="D4" s="21" t="s">
        <v>26</v>
      </c>
      <c r="E4" s="21" t="s">
        <v>27</v>
      </c>
      <c r="F4" s="21" t="s">
        <v>28</v>
      </c>
      <c r="G4" s="21" t="s">
        <v>29</v>
      </c>
      <c r="H4" s="21" t="s">
        <v>30</v>
      </c>
      <c r="I4" s="21" t="s">
        <v>31</v>
      </c>
      <c r="J4" s="21" t="s">
        <v>32</v>
      </c>
      <c r="K4" s="21" t="s">
        <v>33</v>
      </c>
      <c r="L4" s="21" t="s">
        <v>34</v>
      </c>
      <c r="M4" s="21" t="s">
        <v>35</v>
      </c>
      <c r="N4" s="21" t="s">
        <v>36</v>
      </c>
      <c r="O4" s="21" t="s">
        <v>16</v>
      </c>
    </row>
    <row r="5" customFormat="false" ht="19.5" hidden="false" customHeight="true" outlineLevel="0" collapsed="false">
      <c r="A5" s="22" t="n">
        <v>1</v>
      </c>
      <c r="B5" s="23" t="s">
        <v>37</v>
      </c>
      <c r="C5" s="23" t="s">
        <v>38</v>
      </c>
      <c r="D5" s="23" t="s">
        <v>39</v>
      </c>
      <c r="E5" s="23" t="s">
        <v>40</v>
      </c>
      <c r="F5" s="23" t="s">
        <v>41</v>
      </c>
      <c r="G5" s="23" t="s">
        <v>42</v>
      </c>
      <c r="H5" s="23" t="s">
        <v>43</v>
      </c>
      <c r="I5" s="23" t="s">
        <v>41</v>
      </c>
      <c r="J5" s="23" t="s">
        <v>44</v>
      </c>
      <c r="K5" s="23" t="s">
        <v>45</v>
      </c>
      <c r="L5" s="23" t="s">
        <v>46</v>
      </c>
      <c r="M5" s="23" t="s">
        <v>47</v>
      </c>
      <c r="N5" s="23" t="s">
        <v>48</v>
      </c>
      <c r="O5" s="23" t="s">
        <v>49</v>
      </c>
    </row>
    <row r="6" customFormat="false" ht="19.5" hidden="false" customHeight="true" outlineLevel="0" collapsed="false">
      <c r="A6" s="22" t="n">
        <v>2</v>
      </c>
      <c r="B6" s="23" t="s">
        <v>37</v>
      </c>
      <c r="C6" s="23" t="s">
        <v>38</v>
      </c>
      <c r="D6" s="23" t="s">
        <v>50</v>
      </c>
      <c r="E6" s="23" t="s">
        <v>51</v>
      </c>
      <c r="F6" s="23" t="s">
        <v>52</v>
      </c>
      <c r="G6" s="23" t="s">
        <v>42</v>
      </c>
      <c r="H6" s="23" t="s">
        <v>43</v>
      </c>
      <c r="I6" s="23" t="s">
        <v>41</v>
      </c>
      <c r="J6" s="23" t="s">
        <v>44</v>
      </c>
      <c r="K6" s="23" t="s">
        <v>53</v>
      </c>
      <c r="L6" s="23"/>
      <c r="M6" s="23" t="s">
        <v>54</v>
      </c>
      <c r="N6" s="23" t="s">
        <v>55</v>
      </c>
      <c r="O6" s="23" t="s">
        <v>56</v>
      </c>
    </row>
    <row r="7" customFormat="false" ht="19.5" hidden="false" customHeight="true" outlineLevel="0" collapsed="false">
      <c r="A7" s="22" t="n">
        <v>3</v>
      </c>
      <c r="B7" s="23" t="s">
        <v>37</v>
      </c>
      <c r="C7" s="23" t="s">
        <v>38</v>
      </c>
      <c r="D7" s="23" t="s">
        <v>57</v>
      </c>
      <c r="E7" s="23" t="s">
        <v>51</v>
      </c>
      <c r="F7" s="23" t="s">
        <v>58</v>
      </c>
      <c r="G7" s="23" t="s">
        <v>42</v>
      </c>
      <c r="H7" s="23" t="s">
        <v>43</v>
      </c>
      <c r="I7" s="23" t="s">
        <v>41</v>
      </c>
      <c r="J7" s="23" t="s">
        <v>59</v>
      </c>
      <c r="K7" s="23" t="s">
        <v>60</v>
      </c>
      <c r="L7" s="23"/>
      <c r="M7" s="23" t="s">
        <v>61</v>
      </c>
      <c r="N7" s="23" t="s">
        <v>55</v>
      </c>
      <c r="O7" s="23" t="s">
        <v>62</v>
      </c>
    </row>
    <row r="8" customFormat="false" ht="19.5" hidden="false" customHeight="true" outlineLevel="0" collapsed="false">
      <c r="A8" s="22" t="n">
        <v>4</v>
      </c>
      <c r="B8" s="23" t="s">
        <v>37</v>
      </c>
      <c r="C8" s="23" t="s">
        <v>38</v>
      </c>
      <c r="D8" s="23" t="s">
        <v>63</v>
      </c>
      <c r="E8" s="23" t="s">
        <v>64</v>
      </c>
      <c r="F8" s="23" t="s">
        <v>65</v>
      </c>
      <c r="G8" s="23" t="s">
        <v>66</v>
      </c>
      <c r="H8" s="23" t="s">
        <v>67</v>
      </c>
      <c r="I8" s="23" t="s">
        <v>65</v>
      </c>
      <c r="J8" s="23"/>
      <c r="K8" s="23"/>
      <c r="L8" s="23"/>
      <c r="M8" s="23" t="s">
        <v>68</v>
      </c>
      <c r="N8" s="23" t="s">
        <v>69</v>
      </c>
      <c r="O8" s="23" t="s">
        <v>70</v>
      </c>
    </row>
    <row r="9" customFormat="false" ht="19.5" hidden="false" customHeight="true" outlineLevel="0" collapsed="false">
      <c r="A9" s="22" t="n">
        <v>5</v>
      </c>
      <c r="B9" s="23" t="s">
        <v>37</v>
      </c>
      <c r="C9" s="23" t="s">
        <v>38</v>
      </c>
      <c r="D9" s="23" t="s">
        <v>71</v>
      </c>
      <c r="E9" s="23" t="s">
        <v>64</v>
      </c>
      <c r="F9" s="23" t="s">
        <v>72</v>
      </c>
      <c r="G9" s="23" t="s">
        <v>66</v>
      </c>
      <c r="H9" s="23" t="s">
        <v>67</v>
      </c>
      <c r="I9" s="23" t="s">
        <v>65</v>
      </c>
      <c r="J9" s="23"/>
      <c r="K9" s="23"/>
      <c r="L9" s="23"/>
      <c r="M9" s="23" t="s">
        <v>68</v>
      </c>
      <c r="N9" s="23" t="s">
        <v>69</v>
      </c>
      <c r="O9" s="23" t="s">
        <v>73</v>
      </c>
    </row>
    <row r="10" customFormat="false" ht="19.5" hidden="false" customHeight="true" outlineLevel="0" collapsed="false">
      <c r="A10" s="22" t="n">
        <v>6</v>
      </c>
      <c r="B10" s="23" t="s">
        <v>74</v>
      </c>
      <c r="C10" s="23" t="s">
        <v>75</v>
      </c>
      <c r="D10" s="23" t="s">
        <v>76</v>
      </c>
      <c r="E10" s="23" t="s">
        <v>40</v>
      </c>
      <c r="F10" s="23" t="s">
        <v>77</v>
      </c>
      <c r="G10" s="23" t="s">
        <v>42</v>
      </c>
      <c r="H10" s="23" t="s">
        <v>78</v>
      </c>
      <c r="I10" s="23" t="s">
        <v>77</v>
      </c>
      <c r="J10" s="23" t="s">
        <v>79</v>
      </c>
      <c r="K10" s="23" t="s">
        <v>80</v>
      </c>
      <c r="L10" s="23" t="s">
        <v>46</v>
      </c>
      <c r="M10" s="23" t="s">
        <v>47</v>
      </c>
      <c r="N10" s="23" t="s">
        <v>69</v>
      </c>
      <c r="O10" s="23" t="s">
        <v>49</v>
      </c>
    </row>
    <row r="11" customFormat="false" ht="19.5" hidden="false" customHeight="true" outlineLevel="0" collapsed="false">
      <c r="A11" s="22" t="n">
        <v>7</v>
      </c>
      <c r="B11" s="23" t="s">
        <v>74</v>
      </c>
      <c r="C11" s="23" t="s">
        <v>75</v>
      </c>
      <c r="D11" s="23" t="s">
        <v>81</v>
      </c>
      <c r="E11" s="23" t="s">
        <v>51</v>
      </c>
      <c r="F11" s="23" t="s">
        <v>82</v>
      </c>
      <c r="G11" s="23" t="s">
        <v>42</v>
      </c>
      <c r="H11" s="23" t="s">
        <v>78</v>
      </c>
      <c r="I11" s="23" t="s">
        <v>77</v>
      </c>
      <c r="J11" s="23" t="s">
        <v>79</v>
      </c>
      <c r="K11" s="23" t="s">
        <v>83</v>
      </c>
      <c r="L11" s="23"/>
      <c r="M11" s="23" t="s">
        <v>54</v>
      </c>
      <c r="N11" s="23" t="s">
        <v>69</v>
      </c>
      <c r="O11" s="23" t="s">
        <v>84</v>
      </c>
    </row>
    <row r="12" customFormat="false" ht="19.5" hidden="false" customHeight="true" outlineLevel="0" collapsed="false">
      <c r="A12" s="22" t="n">
        <v>8</v>
      </c>
      <c r="B12" s="23" t="s">
        <v>74</v>
      </c>
      <c r="C12" s="23" t="s">
        <v>75</v>
      </c>
      <c r="D12" s="23" t="s">
        <v>85</v>
      </c>
      <c r="E12" s="23" t="s">
        <v>51</v>
      </c>
      <c r="F12" s="23" t="s">
        <v>86</v>
      </c>
      <c r="G12" s="23" t="s">
        <v>42</v>
      </c>
      <c r="H12" s="23" t="s">
        <v>78</v>
      </c>
      <c r="I12" s="23" t="s">
        <v>77</v>
      </c>
      <c r="J12" s="23" t="s">
        <v>87</v>
      </c>
      <c r="K12" s="23" t="s">
        <v>88</v>
      </c>
      <c r="L12" s="23"/>
      <c r="M12" s="23" t="s">
        <v>61</v>
      </c>
      <c r="N12" s="23" t="s">
        <v>69</v>
      </c>
      <c r="O12" s="23" t="s">
        <v>84</v>
      </c>
    </row>
    <row r="13" customFormat="false" ht="19.5" hidden="false" customHeight="true" outlineLevel="0" collapsed="false">
      <c r="A13" s="22" t="n">
        <v>9</v>
      </c>
      <c r="B13" s="23" t="s">
        <v>74</v>
      </c>
      <c r="C13" s="23" t="s">
        <v>75</v>
      </c>
      <c r="D13" s="23" t="s">
        <v>89</v>
      </c>
      <c r="E13" s="23" t="s">
        <v>64</v>
      </c>
      <c r="F13" s="23" t="s">
        <v>90</v>
      </c>
      <c r="G13" s="23" t="s">
        <v>66</v>
      </c>
      <c r="H13" s="23" t="s">
        <v>91</v>
      </c>
      <c r="I13" s="23" t="s">
        <v>90</v>
      </c>
      <c r="J13" s="23"/>
      <c r="K13" s="23"/>
      <c r="L13" s="23"/>
      <c r="M13" s="23" t="s">
        <v>68</v>
      </c>
      <c r="N13" s="23" t="s">
        <v>69</v>
      </c>
      <c r="O13" s="23" t="s">
        <v>70</v>
      </c>
    </row>
    <row r="14" customFormat="false" ht="19.5" hidden="false" customHeight="true" outlineLevel="0" collapsed="false">
      <c r="A14" s="22" t="n">
        <v>10</v>
      </c>
      <c r="B14" s="23" t="s">
        <v>74</v>
      </c>
      <c r="C14" s="23" t="s">
        <v>75</v>
      </c>
      <c r="D14" s="23" t="s">
        <v>92</v>
      </c>
      <c r="E14" s="23" t="s">
        <v>64</v>
      </c>
      <c r="F14" s="23" t="s">
        <v>93</v>
      </c>
      <c r="G14" s="23" t="s">
        <v>66</v>
      </c>
      <c r="H14" s="23" t="s">
        <v>91</v>
      </c>
      <c r="I14" s="23" t="s">
        <v>90</v>
      </c>
      <c r="J14" s="23"/>
      <c r="K14" s="23"/>
      <c r="L14" s="23"/>
      <c r="M14" s="23" t="s">
        <v>68</v>
      </c>
      <c r="N14" s="23" t="s">
        <v>69</v>
      </c>
      <c r="O14" s="23" t="s">
        <v>73</v>
      </c>
    </row>
  </sheetData>
  <mergeCells count="2">
    <mergeCell ref="A1:O1"/>
    <mergeCell ref="A2:O2"/>
  </mergeCells>
  <conditionalFormatting sqref="N5:N104">
    <cfRule type="cellIs" priority="2" operator="equal" aboveAverage="0" equalAverage="0" bottom="0" percent="0" rank="0" text="" dxfId="0">
      <formula>"Production"</formula>
    </cfRule>
    <cfRule type="cellIs" priority="3" operator="equal" aboveAverage="0" equalAverage="0" bottom="0" percent="0" rank="0" text="" dxfId="1">
      <formula>"Planning"</formula>
    </cfRule>
    <cfRule type="cellIs" priority="4" operator="equal" aboveAverage="0" equalAverage="0" bottom="0" percent="0" rank="0" text="" dxfId="2">
      <formula>"Ordered"</formula>
    </cfRule>
  </conditionalFormatting>
  <dataValidations count="3">
    <dataValidation allowBlank="true" error="Select a valid device type" errorStyle="stop" errorTitle="Invalid Device Type" operator="between" showDropDown="false" showErrorMessage="false" showInputMessage="false" sqref="E5:E104" type="list">
      <formula1>"Switch,Router,SD-WAN,Firewall,WLC,Access Point"</formula1>
      <formula2>0</formula2>
    </dataValidation>
    <dataValidation allowBlank="true" error="Select a valid status" errorStyle="stop" operator="between" showDropDown="false" showErrorMessage="false" showInputMessage="false" sqref="N5:N104" type="list">
      <formula1>"Planning,Ordered,Received,Configured,Deployed,Validated,Production"</formula1>
      <formula2>0</formula2>
    </dataValidation>
    <dataValidation allowBlank="true" errorStyle="stop" operator="between" showDropDown="false" showErrorMessage="false" showInputMessage="false" sqref="M5:M104" type="list">
      <formula1>"Primary,Secondary,Standalone,Stack Master,Stack Member"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M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8"/>
    <col collapsed="false" customWidth="true" hidden="false" outlineLevel="0" max="3" min="3" style="1" width="22"/>
    <col collapsed="false" customWidth="true" hidden="false" outlineLevel="0" max="4" min="4" style="1" width="14"/>
    <col collapsed="false" customWidth="true" hidden="false" outlineLevel="0" max="8" min="5" style="1" width="18"/>
    <col collapsed="false" customWidth="true" hidden="false" outlineLevel="0" max="11" min="9" style="1" width="14"/>
    <col collapsed="false" customWidth="true" hidden="false" outlineLevel="0" max="13" min="12" style="1" width="16"/>
  </cols>
  <sheetData>
    <row r="1" customFormat="false" ht="33.75" hidden="false" customHeight="true" outlineLevel="0" collapsed="false">
      <c r="A1" s="2" t="s">
        <v>94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9.5" hidden="false" customHeight="true" outlineLevel="0" collapsed="false">
      <c r="A2" s="3" t="s">
        <v>95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30" hidden="false" customHeight="true" outlineLevel="0" collapsed="false">
      <c r="A4" s="21" t="s">
        <v>24</v>
      </c>
      <c r="B4" s="21" t="s">
        <v>8</v>
      </c>
      <c r="C4" s="21" t="s">
        <v>96</v>
      </c>
      <c r="D4" s="21" t="s">
        <v>97</v>
      </c>
      <c r="E4" s="21" t="s">
        <v>98</v>
      </c>
      <c r="F4" s="21" t="s">
        <v>99</v>
      </c>
      <c r="G4" s="21" t="s">
        <v>100</v>
      </c>
      <c r="H4" s="21" t="s">
        <v>101</v>
      </c>
      <c r="I4" s="21" t="s">
        <v>102</v>
      </c>
      <c r="J4" s="21" t="s">
        <v>103</v>
      </c>
      <c r="K4" s="21" t="s">
        <v>104</v>
      </c>
      <c r="L4" s="21" t="s">
        <v>105</v>
      </c>
      <c r="M4" s="21" t="s">
        <v>16</v>
      </c>
    </row>
    <row r="5" customFormat="false" ht="15" hidden="false" customHeight="true" outlineLevel="0" collapsed="false">
      <c r="A5" s="24" t="n">
        <v>1</v>
      </c>
      <c r="B5" s="25" t="s">
        <v>37</v>
      </c>
      <c r="C5" s="25" t="s">
        <v>106</v>
      </c>
      <c r="D5" s="26" t="n">
        <v>10</v>
      </c>
      <c r="E5" s="25" t="s">
        <v>107</v>
      </c>
      <c r="F5" s="25" t="s">
        <v>108</v>
      </c>
      <c r="G5" s="25" t="s">
        <v>109</v>
      </c>
      <c r="H5" s="25" t="s">
        <v>110</v>
      </c>
      <c r="I5" s="25" t="s">
        <v>111</v>
      </c>
      <c r="J5" s="26" t="s">
        <v>112</v>
      </c>
      <c r="K5" s="25" t="s">
        <v>113</v>
      </c>
      <c r="L5" s="26" t="n">
        <v>253</v>
      </c>
      <c r="M5" s="25" t="s">
        <v>114</v>
      </c>
    </row>
    <row r="6" customFormat="false" ht="15" hidden="false" customHeight="true" outlineLevel="0" collapsed="false">
      <c r="A6" s="22" t="n">
        <v>2</v>
      </c>
      <c r="B6" s="27" t="s">
        <v>37</v>
      </c>
      <c r="C6" s="27" t="s">
        <v>106</v>
      </c>
      <c r="D6" s="28" t="n">
        <v>18</v>
      </c>
      <c r="E6" s="27" t="s">
        <v>115</v>
      </c>
      <c r="F6" s="27" t="s">
        <v>116</v>
      </c>
      <c r="G6" s="27" t="s">
        <v>117</v>
      </c>
      <c r="H6" s="27" t="s">
        <v>118</v>
      </c>
      <c r="I6" s="27" t="s">
        <v>119</v>
      </c>
      <c r="J6" s="28" t="s">
        <v>120</v>
      </c>
      <c r="K6" s="27" t="s">
        <v>121</v>
      </c>
      <c r="L6" s="28" t="n">
        <v>125</v>
      </c>
      <c r="M6" s="27" t="s">
        <v>122</v>
      </c>
    </row>
    <row r="7" customFormat="false" ht="15" hidden="false" customHeight="true" outlineLevel="0" collapsed="false">
      <c r="A7" s="24" t="n">
        <v>3</v>
      </c>
      <c r="B7" s="25" t="s">
        <v>37</v>
      </c>
      <c r="C7" s="25" t="s">
        <v>106</v>
      </c>
      <c r="D7" s="26" t="n">
        <v>188</v>
      </c>
      <c r="E7" s="25" t="s">
        <v>123</v>
      </c>
      <c r="F7" s="25" t="s">
        <v>124</v>
      </c>
      <c r="G7" s="25" t="s">
        <v>125</v>
      </c>
      <c r="H7" s="25" t="s">
        <v>126</v>
      </c>
      <c r="I7" s="25" t="s">
        <v>127</v>
      </c>
      <c r="J7" s="26" t="s">
        <v>128</v>
      </c>
      <c r="K7" s="25" t="s">
        <v>129</v>
      </c>
      <c r="L7" s="26" t="n">
        <v>29</v>
      </c>
      <c r="M7" s="25" t="s">
        <v>130</v>
      </c>
    </row>
    <row r="8" customFormat="false" ht="21.75" hidden="false" customHeight="true" outlineLevel="0" collapsed="false">
      <c r="A8" s="22" t="n">
        <v>4</v>
      </c>
      <c r="B8" s="27" t="s">
        <v>37</v>
      </c>
      <c r="C8" s="27" t="s">
        <v>106</v>
      </c>
      <c r="D8" s="28" t="n">
        <v>3</v>
      </c>
      <c r="E8" s="27" t="s">
        <v>131</v>
      </c>
      <c r="F8" s="27" t="s">
        <v>132</v>
      </c>
      <c r="G8" s="27" t="s">
        <v>133</v>
      </c>
      <c r="H8" s="27" t="s">
        <v>134</v>
      </c>
      <c r="I8" s="27" t="s">
        <v>135</v>
      </c>
      <c r="J8" s="28" t="s">
        <v>136</v>
      </c>
      <c r="K8" s="27" t="s">
        <v>137</v>
      </c>
      <c r="L8" s="28" t="n">
        <v>13</v>
      </c>
      <c r="M8" s="27" t="s">
        <v>138</v>
      </c>
    </row>
    <row r="9" customFormat="false" ht="15" hidden="false" customHeight="true" outlineLevel="0" collapsed="false">
      <c r="A9" s="24" t="n">
        <v>5</v>
      </c>
      <c r="B9" s="25" t="s">
        <v>37</v>
      </c>
      <c r="C9" s="25" t="s">
        <v>106</v>
      </c>
      <c r="D9" s="26" t="n">
        <v>9</v>
      </c>
      <c r="E9" s="25" t="s">
        <v>139</v>
      </c>
      <c r="F9" s="25" t="s">
        <v>67</v>
      </c>
      <c r="G9" s="25" t="s">
        <v>65</v>
      </c>
      <c r="H9" s="25" t="s">
        <v>72</v>
      </c>
      <c r="I9" s="25" t="s">
        <v>140</v>
      </c>
      <c r="J9" s="26" t="s">
        <v>128</v>
      </c>
      <c r="K9" s="25" t="s">
        <v>129</v>
      </c>
      <c r="L9" s="26" t="n">
        <v>29</v>
      </c>
      <c r="M9" s="25" t="s">
        <v>141</v>
      </c>
    </row>
    <row r="10" customFormat="false" ht="15" hidden="false" customHeight="true" outlineLevel="0" collapsed="false">
      <c r="A10" s="22" t="n">
        <v>6</v>
      </c>
      <c r="B10" s="27" t="s">
        <v>37</v>
      </c>
      <c r="C10" s="27" t="s">
        <v>106</v>
      </c>
      <c r="D10" s="28" t="n">
        <v>5</v>
      </c>
      <c r="E10" s="27" t="s">
        <v>142</v>
      </c>
      <c r="F10" s="27" t="s">
        <v>43</v>
      </c>
      <c r="G10" s="27" t="s">
        <v>41</v>
      </c>
      <c r="H10" s="27" t="s">
        <v>52</v>
      </c>
      <c r="I10" s="27" t="s">
        <v>143</v>
      </c>
      <c r="J10" s="28" t="s">
        <v>128</v>
      </c>
      <c r="K10" s="27" t="s">
        <v>129</v>
      </c>
      <c r="L10" s="28" t="n">
        <v>29</v>
      </c>
      <c r="M10" s="27" t="s">
        <v>144</v>
      </c>
    </row>
    <row r="11" customFormat="false" ht="15" hidden="false" customHeight="true" outlineLevel="0" collapsed="false">
      <c r="A11" s="24" t="n">
        <v>7</v>
      </c>
      <c r="B11" s="25" t="s">
        <v>74</v>
      </c>
      <c r="C11" s="25" t="s">
        <v>145</v>
      </c>
      <c r="D11" s="26" t="n">
        <v>10</v>
      </c>
      <c r="E11" s="25" t="s">
        <v>107</v>
      </c>
      <c r="F11" s="25" t="s">
        <v>146</v>
      </c>
      <c r="G11" s="25" t="s">
        <v>77</v>
      </c>
      <c r="H11" s="25" t="s">
        <v>82</v>
      </c>
      <c r="I11" s="25" t="s">
        <v>147</v>
      </c>
      <c r="J11" s="26" t="s">
        <v>112</v>
      </c>
      <c r="K11" s="25" t="s">
        <v>113</v>
      </c>
      <c r="L11" s="26" t="n">
        <v>253</v>
      </c>
      <c r="M11" s="25" t="s">
        <v>114</v>
      </c>
    </row>
    <row r="12" customFormat="false" ht="15" hidden="false" customHeight="true" outlineLevel="0" collapsed="false">
      <c r="A12" s="22" t="n">
        <v>8</v>
      </c>
      <c r="B12" s="27" t="s">
        <v>74</v>
      </c>
      <c r="C12" s="27" t="s">
        <v>145</v>
      </c>
      <c r="D12" s="28" t="n">
        <v>18</v>
      </c>
      <c r="E12" s="27" t="s">
        <v>115</v>
      </c>
      <c r="F12" s="27" t="s">
        <v>148</v>
      </c>
      <c r="G12" s="27" t="s">
        <v>149</v>
      </c>
      <c r="H12" s="27" t="s">
        <v>150</v>
      </c>
      <c r="I12" s="27" t="s">
        <v>151</v>
      </c>
      <c r="J12" s="28" t="s">
        <v>120</v>
      </c>
      <c r="K12" s="27" t="s">
        <v>121</v>
      </c>
      <c r="L12" s="28" t="n">
        <v>125</v>
      </c>
      <c r="M12" s="27" t="s">
        <v>122</v>
      </c>
    </row>
    <row r="13" customFormat="false" ht="15" hidden="false" customHeight="true" outlineLevel="0" collapsed="false">
      <c r="A13" s="24" t="n">
        <v>9</v>
      </c>
      <c r="B13" s="25" t="s">
        <v>74</v>
      </c>
      <c r="C13" s="25" t="s">
        <v>145</v>
      </c>
      <c r="D13" s="26" t="n">
        <v>188</v>
      </c>
      <c r="E13" s="25" t="s">
        <v>123</v>
      </c>
      <c r="F13" s="25" t="s">
        <v>152</v>
      </c>
      <c r="G13" s="25" t="s">
        <v>153</v>
      </c>
      <c r="H13" s="25" t="s">
        <v>154</v>
      </c>
      <c r="I13" s="25" t="s">
        <v>155</v>
      </c>
      <c r="J13" s="26" t="s">
        <v>128</v>
      </c>
      <c r="K13" s="25" t="s">
        <v>129</v>
      </c>
      <c r="L13" s="26" t="n">
        <v>29</v>
      </c>
      <c r="M13" s="25" t="s">
        <v>130</v>
      </c>
    </row>
    <row r="14" customFormat="false" ht="21.75" hidden="false" customHeight="true" outlineLevel="0" collapsed="false">
      <c r="A14" s="22" t="n">
        <v>10</v>
      </c>
      <c r="B14" s="27" t="s">
        <v>74</v>
      </c>
      <c r="C14" s="27" t="s">
        <v>145</v>
      </c>
      <c r="D14" s="28" t="n">
        <v>3</v>
      </c>
      <c r="E14" s="27" t="s">
        <v>131</v>
      </c>
      <c r="F14" s="27" t="s">
        <v>156</v>
      </c>
      <c r="G14" s="27" t="s">
        <v>157</v>
      </c>
      <c r="H14" s="27" t="s">
        <v>158</v>
      </c>
      <c r="I14" s="27" t="s">
        <v>159</v>
      </c>
      <c r="J14" s="28" t="s">
        <v>136</v>
      </c>
      <c r="K14" s="27" t="s">
        <v>137</v>
      </c>
      <c r="L14" s="28" t="n">
        <v>13</v>
      </c>
      <c r="M14" s="27" t="s">
        <v>138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CAF50"/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8"/>
    <col collapsed="false" customWidth="true" hidden="false" outlineLevel="0" max="3" min="3" style="1" width="10"/>
    <col collapsed="false" customWidth="true" hidden="false" outlineLevel="0" max="4" min="4" style="1" width="20"/>
    <col collapsed="false" customWidth="true" hidden="false" outlineLevel="0" max="5" min="5" style="1" width="22"/>
    <col collapsed="false" customWidth="true" hidden="false" outlineLevel="0" max="6" min="6" style="1" width="18"/>
    <col collapsed="false" customWidth="true" hidden="false" outlineLevel="0" max="7" min="7" style="1" width="14"/>
    <col collapsed="false" customWidth="true" hidden="false" outlineLevel="0" max="10" min="8" style="1" width="18"/>
  </cols>
  <sheetData>
    <row r="1" customFormat="false" ht="33.75" hidden="false" customHeight="true" outlineLevel="0" collapsed="false">
      <c r="A1" s="2" t="s">
        <v>160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9.5" hidden="false" customHeight="true" outlineLevel="0" collapsed="false">
      <c r="A2" s="3" t="s">
        <v>161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30" hidden="false" customHeight="true" outlineLevel="0" collapsed="false">
      <c r="A4" s="21" t="s">
        <v>24</v>
      </c>
      <c r="B4" s="21" t="s">
        <v>162</v>
      </c>
      <c r="C4" s="21" t="s">
        <v>97</v>
      </c>
      <c r="D4" s="21" t="s">
        <v>98</v>
      </c>
      <c r="E4" s="21" t="s">
        <v>163</v>
      </c>
      <c r="F4" s="21" t="s">
        <v>164</v>
      </c>
      <c r="G4" s="21" t="s">
        <v>165</v>
      </c>
      <c r="H4" s="21" t="s">
        <v>166</v>
      </c>
      <c r="I4" s="21" t="s">
        <v>167</v>
      </c>
      <c r="J4" s="21" t="s">
        <v>168</v>
      </c>
    </row>
    <row r="5" customFormat="false" ht="21.75" hidden="false" customHeight="true" outlineLevel="0" collapsed="false">
      <c r="A5" s="26" t="n">
        <v>1</v>
      </c>
      <c r="B5" s="25" t="s">
        <v>169</v>
      </c>
      <c r="C5" s="26" t="n">
        <v>3</v>
      </c>
      <c r="D5" s="25" t="s">
        <v>170</v>
      </c>
      <c r="E5" s="25" t="s">
        <v>171</v>
      </c>
      <c r="F5" s="25" t="s">
        <v>172</v>
      </c>
      <c r="G5" s="25" t="s">
        <v>131</v>
      </c>
      <c r="H5" s="25" t="s">
        <v>173</v>
      </c>
      <c r="I5" s="25" t="s">
        <v>173</v>
      </c>
      <c r="J5" s="25" t="s">
        <v>174</v>
      </c>
    </row>
    <row r="6" customFormat="false" ht="21.75" hidden="false" customHeight="true" outlineLevel="0" collapsed="false">
      <c r="A6" s="28" t="n">
        <v>2</v>
      </c>
      <c r="B6" s="27" t="s">
        <v>169</v>
      </c>
      <c r="C6" s="28" t="n">
        <v>5</v>
      </c>
      <c r="D6" s="27" t="s">
        <v>175</v>
      </c>
      <c r="E6" s="27" t="s">
        <v>176</v>
      </c>
      <c r="F6" s="27" t="s">
        <v>177</v>
      </c>
      <c r="G6" s="27" t="s">
        <v>142</v>
      </c>
      <c r="H6" s="27" t="s">
        <v>173</v>
      </c>
      <c r="I6" s="27" t="s">
        <v>173</v>
      </c>
      <c r="J6" s="27" t="s">
        <v>174</v>
      </c>
    </row>
    <row r="7" customFormat="false" ht="21.75" hidden="false" customHeight="true" outlineLevel="0" collapsed="false">
      <c r="A7" s="26" t="n">
        <v>3</v>
      </c>
      <c r="B7" s="25" t="s">
        <v>169</v>
      </c>
      <c r="C7" s="26" t="n">
        <v>9</v>
      </c>
      <c r="D7" s="25" t="s">
        <v>178</v>
      </c>
      <c r="E7" s="25" t="s">
        <v>179</v>
      </c>
      <c r="F7" s="25" t="s">
        <v>180</v>
      </c>
      <c r="G7" s="25" t="s">
        <v>142</v>
      </c>
      <c r="H7" s="25" t="s">
        <v>181</v>
      </c>
      <c r="I7" s="25" t="s">
        <v>173</v>
      </c>
      <c r="J7" s="25" t="s">
        <v>174</v>
      </c>
    </row>
    <row r="8" customFormat="false" ht="15" hidden="false" customHeight="true" outlineLevel="0" collapsed="false">
      <c r="A8" s="28" t="n">
        <v>4</v>
      </c>
      <c r="B8" s="27" t="s">
        <v>169</v>
      </c>
      <c r="C8" s="28" t="n">
        <v>10</v>
      </c>
      <c r="D8" s="27" t="s">
        <v>182</v>
      </c>
      <c r="E8" s="27" t="s">
        <v>183</v>
      </c>
      <c r="F8" s="27" t="s">
        <v>184</v>
      </c>
      <c r="G8" s="27" t="s">
        <v>185</v>
      </c>
      <c r="H8" s="27" t="s">
        <v>181</v>
      </c>
      <c r="I8" s="27" t="s">
        <v>181</v>
      </c>
      <c r="J8" s="27" t="s">
        <v>186</v>
      </c>
    </row>
    <row r="9" customFormat="false" ht="21.75" hidden="false" customHeight="true" outlineLevel="0" collapsed="false">
      <c r="A9" s="26" t="n">
        <v>5</v>
      </c>
      <c r="B9" s="25" t="s">
        <v>169</v>
      </c>
      <c r="C9" s="26" t="n">
        <v>18</v>
      </c>
      <c r="D9" s="25" t="s">
        <v>187</v>
      </c>
      <c r="E9" s="25" t="s">
        <v>188</v>
      </c>
      <c r="F9" s="25" t="s">
        <v>189</v>
      </c>
      <c r="G9" s="25" t="s">
        <v>190</v>
      </c>
      <c r="H9" s="25" t="s">
        <v>181</v>
      </c>
      <c r="I9" s="25" t="s">
        <v>173</v>
      </c>
      <c r="J9" s="25" t="s">
        <v>186</v>
      </c>
    </row>
    <row r="10" customFormat="false" ht="21.75" hidden="false" customHeight="true" outlineLevel="0" collapsed="false">
      <c r="A10" s="28" t="n">
        <v>6</v>
      </c>
      <c r="B10" s="27" t="s">
        <v>169</v>
      </c>
      <c r="C10" s="28" t="n">
        <v>188</v>
      </c>
      <c r="D10" s="27" t="s">
        <v>191</v>
      </c>
      <c r="E10" s="27" t="s">
        <v>192</v>
      </c>
      <c r="F10" s="27" t="s">
        <v>193</v>
      </c>
      <c r="G10" s="27" t="s">
        <v>194</v>
      </c>
      <c r="H10" s="27" t="s">
        <v>181</v>
      </c>
      <c r="I10" s="27" t="s">
        <v>173</v>
      </c>
      <c r="J10" s="27" t="s">
        <v>194</v>
      </c>
    </row>
    <row r="11" customFormat="false" ht="21.75" hidden="false" customHeight="true" outlineLevel="0" collapsed="false">
      <c r="A11" s="26" t="n">
        <v>7</v>
      </c>
      <c r="B11" s="25" t="s">
        <v>169</v>
      </c>
      <c r="C11" s="26" t="n">
        <v>192</v>
      </c>
      <c r="D11" s="25" t="s">
        <v>195</v>
      </c>
      <c r="E11" s="25" t="s">
        <v>196</v>
      </c>
      <c r="F11" s="25" t="s">
        <v>197</v>
      </c>
      <c r="G11" s="25" t="s">
        <v>198</v>
      </c>
      <c r="H11" s="25" t="s">
        <v>199</v>
      </c>
      <c r="I11" s="25" t="s">
        <v>173</v>
      </c>
      <c r="J11" s="25" t="s">
        <v>198</v>
      </c>
    </row>
    <row r="12" customFormat="false" ht="21.75" hidden="false" customHeight="true" outlineLevel="0" collapsed="false">
      <c r="A12" s="28" t="n">
        <v>8</v>
      </c>
      <c r="B12" s="27" t="s">
        <v>169</v>
      </c>
      <c r="C12" s="28" t="n">
        <v>193</v>
      </c>
      <c r="D12" s="27" t="s">
        <v>200</v>
      </c>
      <c r="E12" s="27" t="s">
        <v>201</v>
      </c>
      <c r="F12" s="27" t="s">
        <v>197</v>
      </c>
      <c r="G12" s="27" t="s">
        <v>190</v>
      </c>
      <c r="H12" s="27" t="s">
        <v>199</v>
      </c>
      <c r="I12" s="27" t="s">
        <v>173</v>
      </c>
      <c r="J12" s="27" t="s">
        <v>174</v>
      </c>
    </row>
  </sheetData>
  <mergeCells count="2">
    <mergeCell ref="A1:J1"/>
    <mergeCell ref="A2:J2"/>
  </mergeCells>
  <dataValidations count="2">
    <dataValidation allowBlank="true" errorStyle="stop" operator="between" showDropDown="false" showErrorMessage="false" showInputMessage="false" sqref="G5:G504" type="list">
      <formula1>"Data,Voice,Wireless,Management,IoT,Guest,Transfer,Server"</formula1>
      <formula2>0</formula2>
    </dataValidation>
    <dataValidation allowBlank="true" errorStyle="stop" operator="between" showDropDown="false" showErrorMessage="false" showInputMessage="false" sqref="H5:I504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9800"/>
    <pageSetUpPr fitToPage="false"/>
  </sheetPr>
  <dimension ref="A1:I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8"/>
    <col collapsed="false" customWidth="true" hidden="false" outlineLevel="0" max="3" min="3" style="1" width="22"/>
    <col collapsed="false" customWidth="true" hidden="false" outlineLevel="0" max="5" min="4" style="1" width="20"/>
    <col collapsed="false" customWidth="true" hidden="false" outlineLevel="0" max="6" min="6" style="1" width="14"/>
    <col collapsed="false" customWidth="true" hidden="false" outlineLevel="0" max="7" min="7" style="1" width="16"/>
    <col collapsed="false" customWidth="true" hidden="false" outlineLevel="0" max="8" min="8" style="1" width="14"/>
    <col collapsed="false" customWidth="true" hidden="false" outlineLevel="0" max="9" min="9" style="1" width="20"/>
  </cols>
  <sheetData>
    <row r="1" customFormat="false" ht="33.75" hidden="false" customHeight="true" outlineLevel="0" collapsed="false">
      <c r="A1" s="2" t="s">
        <v>202</v>
      </c>
      <c r="B1" s="2"/>
      <c r="C1" s="2"/>
      <c r="D1" s="2"/>
      <c r="E1" s="2"/>
      <c r="F1" s="2"/>
      <c r="G1" s="2"/>
      <c r="H1" s="2"/>
      <c r="I1" s="2"/>
    </row>
    <row r="2" customFormat="false" ht="19.5" hidden="false" customHeight="true" outlineLevel="0" collapsed="false">
      <c r="A2" s="3" t="s">
        <v>203</v>
      </c>
      <c r="B2" s="3"/>
      <c r="C2" s="3"/>
      <c r="D2" s="3"/>
      <c r="E2" s="3"/>
      <c r="F2" s="3"/>
      <c r="G2" s="3"/>
      <c r="H2" s="3"/>
      <c r="I2" s="3"/>
    </row>
    <row r="4" customFormat="false" ht="30" hidden="false" customHeight="true" outlineLevel="0" collapsed="false">
      <c r="A4" s="21" t="s">
        <v>24</v>
      </c>
      <c r="B4" s="21" t="s">
        <v>8</v>
      </c>
      <c r="C4" s="21" t="s">
        <v>26</v>
      </c>
      <c r="D4" s="21" t="s">
        <v>204</v>
      </c>
      <c r="E4" s="21" t="s">
        <v>205</v>
      </c>
      <c r="F4" s="21" t="s">
        <v>206</v>
      </c>
      <c r="G4" s="21" t="s">
        <v>207</v>
      </c>
      <c r="H4" s="21" t="s">
        <v>208</v>
      </c>
      <c r="I4" s="21" t="s">
        <v>163</v>
      </c>
    </row>
    <row r="5" customFormat="false" ht="21.75" hidden="false" customHeight="true" outlineLevel="0" collapsed="false">
      <c r="A5" s="26" t="n">
        <v>1</v>
      </c>
      <c r="B5" s="25" t="s">
        <v>37</v>
      </c>
      <c r="C5" s="25" t="s">
        <v>39</v>
      </c>
      <c r="D5" s="25" t="s">
        <v>209</v>
      </c>
      <c r="E5" s="25" t="s">
        <v>134</v>
      </c>
      <c r="F5" s="25" t="s">
        <v>210</v>
      </c>
      <c r="G5" s="25" t="s">
        <v>211</v>
      </c>
      <c r="H5" s="25" t="s">
        <v>212</v>
      </c>
      <c r="I5" s="25" t="s">
        <v>213</v>
      </c>
    </row>
    <row r="6" customFormat="false" ht="15" hidden="false" customHeight="true" outlineLevel="0" collapsed="false">
      <c r="A6" s="28" t="n">
        <v>2</v>
      </c>
      <c r="B6" s="27" t="s">
        <v>37</v>
      </c>
      <c r="C6" s="27" t="s">
        <v>50</v>
      </c>
      <c r="D6" s="27" t="s">
        <v>209</v>
      </c>
      <c r="E6" s="27" t="s">
        <v>214</v>
      </c>
      <c r="F6" s="27" t="s">
        <v>210</v>
      </c>
      <c r="G6" s="27" t="s">
        <v>211</v>
      </c>
      <c r="H6" s="27" t="s">
        <v>215</v>
      </c>
      <c r="I6" s="27" t="s">
        <v>216</v>
      </c>
    </row>
    <row r="7" customFormat="false" ht="15" hidden="false" customHeight="true" outlineLevel="0" collapsed="false">
      <c r="A7" s="26" t="n">
        <v>3</v>
      </c>
      <c r="B7" s="25" t="s">
        <v>37</v>
      </c>
      <c r="C7" s="25" t="s">
        <v>57</v>
      </c>
      <c r="D7" s="25" t="s">
        <v>209</v>
      </c>
      <c r="E7" s="25" t="s">
        <v>217</v>
      </c>
      <c r="F7" s="25" t="s">
        <v>210</v>
      </c>
      <c r="G7" s="25" t="s">
        <v>211</v>
      </c>
      <c r="H7" s="25" t="s">
        <v>218</v>
      </c>
      <c r="I7" s="25" t="s">
        <v>219</v>
      </c>
    </row>
    <row r="8" customFormat="false" ht="15" hidden="false" customHeight="true" outlineLevel="0" collapsed="false">
      <c r="A8" s="28" t="n">
        <v>4</v>
      </c>
      <c r="B8" s="27" t="s">
        <v>37</v>
      </c>
      <c r="C8" s="27" t="s">
        <v>50</v>
      </c>
      <c r="D8" s="27" t="s">
        <v>106</v>
      </c>
      <c r="E8" s="27" t="s">
        <v>133</v>
      </c>
      <c r="F8" s="27" t="s">
        <v>210</v>
      </c>
      <c r="G8" s="27" t="s">
        <v>211</v>
      </c>
      <c r="H8" s="27" t="s">
        <v>220</v>
      </c>
      <c r="I8" s="27" t="s">
        <v>221</v>
      </c>
    </row>
    <row r="9" customFormat="false" ht="15" hidden="false" customHeight="true" outlineLevel="0" collapsed="false">
      <c r="A9" s="26" t="n">
        <v>5</v>
      </c>
      <c r="B9" s="25" t="s">
        <v>74</v>
      </c>
      <c r="C9" s="25" t="s">
        <v>76</v>
      </c>
      <c r="D9" s="25" t="s">
        <v>209</v>
      </c>
      <c r="E9" s="25" t="s">
        <v>158</v>
      </c>
      <c r="F9" s="25" t="s">
        <v>210</v>
      </c>
      <c r="G9" s="25" t="s">
        <v>211</v>
      </c>
      <c r="H9" s="25" t="s">
        <v>212</v>
      </c>
      <c r="I9" s="25" t="s">
        <v>222</v>
      </c>
    </row>
    <row r="10" customFormat="false" ht="15" hidden="false" customHeight="true" outlineLevel="0" collapsed="false">
      <c r="A10" s="28" t="n">
        <v>6</v>
      </c>
      <c r="B10" s="27" t="s">
        <v>74</v>
      </c>
      <c r="C10" s="27" t="s">
        <v>81</v>
      </c>
      <c r="D10" s="27" t="s">
        <v>209</v>
      </c>
      <c r="E10" s="27" t="s">
        <v>214</v>
      </c>
      <c r="F10" s="27" t="s">
        <v>210</v>
      </c>
      <c r="G10" s="27" t="s">
        <v>211</v>
      </c>
      <c r="H10" s="27" t="s">
        <v>215</v>
      </c>
      <c r="I10" s="27" t="s">
        <v>216</v>
      </c>
    </row>
  </sheetData>
  <mergeCells count="2">
    <mergeCell ref="A1:I1"/>
    <mergeCell ref="A2:I2"/>
  </mergeCells>
  <dataValidations count="1">
    <dataValidation allowBlank="true" errorStyle="stop" operator="between" showDropDown="false" showErrorMessage="false" showInputMessage="false" sqref="F5:F204" type="list">
      <formula1>"Static,BGP,OSPF,EIGRP,Connected,OMP"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91E63"/>
    <pageSetUpPr fitToPage="false"/>
  </sheetPr>
  <dimension ref="A1:J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8"/>
    <col collapsed="false" customWidth="true" hidden="false" outlineLevel="0" max="5" min="3" style="1" width="16"/>
    <col collapsed="false" customWidth="true" hidden="false" outlineLevel="0" max="9" min="6" style="1" width="14"/>
    <col collapsed="false" customWidth="true" hidden="false" outlineLevel="0" max="10" min="10" style="1" width="20"/>
  </cols>
  <sheetData>
    <row r="1" customFormat="false" ht="33.75" hidden="false" customHeight="true" outlineLevel="0" collapsed="false">
      <c r="A1" s="2" t="s">
        <v>223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9.5" hidden="false" customHeight="true" outlineLevel="0" collapsed="false">
      <c r="A2" s="3" t="s">
        <v>224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30" hidden="false" customHeight="true" outlineLevel="0" collapsed="false">
      <c r="A4" s="21" t="s">
        <v>24</v>
      </c>
      <c r="B4" s="21" t="s">
        <v>8</v>
      </c>
      <c r="C4" s="21" t="s">
        <v>225</v>
      </c>
      <c r="D4" s="21" t="s">
        <v>226</v>
      </c>
      <c r="E4" s="21" t="s">
        <v>227</v>
      </c>
      <c r="F4" s="21" t="s">
        <v>228</v>
      </c>
      <c r="G4" s="21" t="s">
        <v>229</v>
      </c>
      <c r="H4" s="21" t="s">
        <v>230</v>
      </c>
      <c r="I4" s="21" t="s">
        <v>231</v>
      </c>
      <c r="J4" s="21" t="s">
        <v>163</v>
      </c>
    </row>
    <row r="5" customFormat="false" ht="21.75" hidden="false" customHeight="true" outlineLevel="0" collapsed="false">
      <c r="A5" s="26" t="n">
        <v>1</v>
      </c>
      <c r="B5" s="25" t="s">
        <v>169</v>
      </c>
      <c r="C5" s="25" t="s">
        <v>174</v>
      </c>
      <c r="D5" s="25" t="s">
        <v>186</v>
      </c>
      <c r="E5" s="25" t="s">
        <v>232</v>
      </c>
      <c r="F5" s="25" t="s">
        <v>233</v>
      </c>
      <c r="G5" s="25" t="s">
        <v>233</v>
      </c>
      <c r="H5" s="25" t="s">
        <v>234</v>
      </c>
      <c r="I5" s="25" t="s">
        <v>181</v>
      </c>
      <c r="J5" s="25" t="s">
        <v>235</v>
      </c>
    </row>
    <row r="6" customFormat="false" ht="21.75" hidden="false" customHeight="true" outlineLevel="0" collapsed="false">
      <c r="A6" s="28" t="n">
        <v>2</v>
      </c>
      <c r="B6" s="27" t="s">
        <v>169</v>
      </c>
      <c r="C6" s="27" t="s">
        <v>174</v>
      </c>
      <c r="D6" s="27" t="s">
        <v>174</v>
      </c>
      <c r="E6" s="27" t="s">
        <v>236</v>
      </c>
      <c r="F6" s="27" t="s">
        <v>232</v>
      </c>
      <c r="G6" s="27" t="s">
        <v>237</v>
      </c>
      <c r="H6" s="27" t="s">
        <v>234</v>
      </c>
      <c r="I6" s="27" t="s">
        <v>181</v>
      </c>
      <c r="J6" s="27" t="s">
        <v>238</v>
      </c>
    </row>
    <row r="7" customFormat="false" ht="15" hidden="false" customHeight="true" outlineLevel="0" collapsed="false">
      <c r="A7" s="26" t="n">
        <v>3</v>
      </c>
      <c r="B7" s="25" t="s">
        <v>169</v>
      </c>
      <c r="C7" s="25" t="s">
        <v>194</v>
      </c>
      <c r="D7" s="25" t="s">
        <v>186</v>
      </c>
      <c r="E7" s="25" t="s">
        <v>239</v>
      </c>
      <c r="F7" s="25" t="s">
        <v>233</v>
      </c>
      <c r="G7" s="25" t="s">
        <v>240</v>
      </c>
      <c r="H7" s="25" t="s">
        <v>234</v>
      </c>
      <c r="I7" s="25" t="s">
        <v>181</v>
      </c>
      <c r="J7" s="25" t="s">
        <v>241</v>
      </c>
    </row>
    <row r="8" customFormat="false" ht="21.75" hidden="false" customHeight="true" outlineLevel="0" collapsed="false">
      <c r="A8" s="28" t="n">
        <v>4</v>
      </c>
      <c r="B8" s="27" t="s">
        <v>169</v>
      </c>
      <c r="C8" s="27" t="s">
        <v>194</v>
      </c>
      <c r="D8" s="27" t="s">
        <v>174</v>
      </c>
      <c r="E8" s="27" t="s">
        <v>239</v>
      </c>
      <c r="F8" s="27" t="s">
        <v>232</v>
      </c>
      <c r="G8" s="27" t="s">
        <v>233</v>
      </c>
      <c r="H8" s="27" t="s">
        <v>242</v>
      </c>
      <c r="I8" s="27" t="s">
        <v>181</v>
      </c>
      <c r="J8" s="27" t="s">
        <v>243</v>
      </c>
    </row>
    <row r="9" customFormat="false" ht="15" hidden="false" customHeight="true" outlineLevel="0" collapsed="false">
      <c r="A9" s="26" t="n">
        <v>5</v>
      </c>
      <c r="B9" s="25" t="s">
        <v>169</v>
      </c>
      <c r="C9" s="25" t="s">
        <v>198</v>
      </c>
      <c r="D9" s="25" t="s">
        <v>186</v>
      </c>
      <c r="E9" s="25" t="s">
        <v>244</v>
      </c>
      <c r="F9" s="25" t="s">
        <v>233</v>
      </c>
      <c r="G9" s="25" t="s">
        <v>245</v>
      </c>
      <c r="H9" s="25" t="s">
        <v>234</v>
      </c>
      <c r="I9" s="25" t="s">
        <v>173</v>
      </c>
      <c r="J9" s="25" t="s">
        <v>246</v>
      </c>
    </row>
    <row r="10" customFormat="false" ht="15" hidden="false" customHeight="true" outlineLevel="0" collapsed="false">
      <c r="A10" s="28" t="n">
        <v>6</v>
      </c>
      <c r="B10" s="27" t="s">
        <v>169</v>
      </c>
      <c r="C10" s="27" t="s">
        <v>198</v>
      </c>
      <c r="D10" s="27" t="s">
        <v>174</v>
      </c>
      <c r="E10" s="27" t="s">
        <v>244</v>
      </c>
      <c r="F10" s="27" t="s">
        <v>247</v>
      </c>
      <c r="G10" s="27" t="s">
        <v>233</v>
      </c>
      <c r="H10" s="27" t="s">
        <v>242</v>
      </c>
      <c r="I10" s="27" t="s">
        <v>181</v>
      </c>
      <c r="J10" s="27" t="s">
        <v>248</v>
      </c>
    </row>
    <row r="11" customFormat="false" ht="21.75" hidden="false" customHeight="true" outlineLevel="0" collapsed="false">
      <c r="A11" s="26" t="n">
        <v>7</v>
      </c>
      <c r="B11" s="25" t="s">
        <v>169</v>
      </c>
      <c r="C11" s="25" t="s">
        <v>233</v>
      </c>
      <c r="D11" s="25" t="s">
        <v>174</v>
      </c>
      <c r="E11" s="25" t="s">
        <v>233</v>
      </c>
      <c r="F11" s="25" t="s">
        <v>236</v>
      </c>
      <c r="G11" s="25" t="s">
        <v>249</v>
      </c>
      <c r="H11" s="25" t="s">
        <v>242</v>
      </c>
      <c r="I11" s="25" t="s">
        <v>181</v>
      </c>
      <c r="J11" s="25" t="s">
        <v>250</v>
      </c>
    </row>
  </sheetData>
  <mergeCells count="2">
    <mergeCell ref="A1:J1"/>
    <mergeCell ref="A2:J2"/>
  </mergeCells>
  <dataValidations count="1">
    <dataValidation allowBlank="true" errorStyle="stop" operator="between" showDropDown="false" showErrorMessage="false" showInputMessage="false" sqref="H5:H504" type="list">
      <formula1>"Allow,Deny,Drop,Reset"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27B0"/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60"/>
    <col collapsed="false" customWidth="true" hidden="false" outlineLevel="0" max="5" min="5" style="1" width="20"/>
  </cols>
  <sheetData>
    <row r="1" customFormat="false" ht="33.75" hidden="false" customHeight="true" outlineLevel="0" collapsed="false">
      <c r="A1" s="2" t="s">
        <v>251</v>
      </c>
      <c r="B1" s="2"/>
      <c r="C1" s="2"/>
      <c r="D1" s="2"/>
      <c r="E1" s="2"/>
    </row>
    <row r="2" customFormat="false" ht="19.5" hidden="false" customHeight="true" outlineLevel="0" collapsed="false">
      <c r="A2" s="3" t="s">
        <v>252</v>
      </c>
      <c r="B2" s="3"/>
      <c r="C2" s="3"/>
      <c r="D2" s="3"/>
      <c r="E2" s="3"/>
    </row>
    <row r="4" customFormat="false" ht="30" hidden="false" customHeight="true" outlineLevel="0" collapsed="false">
      <c r="A4" s="21" t="s">
        <v>24</v>
      </c>
      <c r="B4" s="21" t="s">
        <v>253</v>
      </c>
      <c r="C4" s="21" t="s">
        <v>254</v>
      </c>
      <c r="D4" s="21" t="s">
        <v>255</v>
      </c>
      <c r="E4" s="21" t="s">
        <v>256</v>
      </c>
    </row>
    <row r="5" customFormat="false" ht="15" hidden="false" customHeight="true" outlineLevel="0" collapsed="false">
      <c r="A5" s="26" t="n">
        <v>1</v>
      </c>
      <c r="B5" s="25" t="s">
        <v>257</v>
      </c>
      <c r="C5" s="29" t="s">
        <v>258</v>
      </c>
      <c r="D5" s="25" t="s">
        <v>259</v>
      </c>
      <c r="E5" s="25" t="s">
        <v>39</v>
      </c>
    </row>
    <row r="6" customFormat="false" ht="15" hidden="false" customHeight="true" outlineLevel="0" collapsed="false">
      <c r="A6" s="28" t="n">
        <v>2</v>
      </c>
      <c r="B6" s="27" t="s">
        <v>257</v>
      </c>
      <c r="C6" s="30" t="s">
        <v>260</v>
      </c>
      <c r="D6" s="27" t="s">
        <v>261</v>
      </c>
      <c r="E6" s="27" t="s">
        <v>262</v>
      </c>
    </row>
    <row r="7" customFormat="false" ht="15" hidden="false" customHeight="true" outlineLevel="0" collapsed="false">
      <c r="A7" s="26" t="n">
        <v>3</v>
      </c>
      <c r="B7" s="25" t="s">
        <v>257</v>
      </c>
      <c r="C7" s="29" t="s">
        <v>263</v>
      </c>
      <c r="D7" s="25" t="s">
        <v>264</v>
      </c>
      <c r="E7" s="25" t="s">
        <v>41</v>
      </c>
    </row>
    <row r="8" customFormat="false" ht="15" hidden="false" customHeight="true" outlineLevel="0" collapsed="false">
      <c r="A8" s="28" t="n">
        <v>4</v>
      </c>
      <c r="B8" s="27" t="s">
        <v>257</v>
      </c>
      <c r="C8" s="30" t="s">
        <v>265</v>
      </c>
      <c r="D8" s="27" t="s">
        <v>266</v>
      </c>
      <c r="E8" s="27" t="s">
        <v>129</v>
      </c>
    </row>
    <row r="9" customFormat="false" ht="21.75" hidden="false" customHeight="true" outlineLevel="0" collapsed="false">
      <c r="A9" s="26" t="n">
        <v>5</v>
      </c>
      <c r="B9" s="25" t="s">
        <v>267</v>
      </c>
      <c r="C9" s="29" t="s">
        <v>268</v>
      </c>
      <c r="D9" s="25" t="s">
        <v>269</v>
      </c>
      <c r="E9" s="25" t="s">
        <v>270</v>
      </c>
    </row>
    <row r="10" customFormat="false" ht="15" hidden="false" customHeight="true" outlineLevel="0" collapsed="false">
      <c r="A10" s="28" t="n">
        <v>6</v>
      </c>
      <c r="B10" s="27" t="s">
        <v>267</v>
      </c>
      <c r="C10" s="30" t="s">
        <v>271</v>
      </c>
      <c r="D10" s="27" t="s">
        <v>272</v>
      </c>
      <c r="E10" s="27" t="s">
        <v>273</v>
      </c>
    </row>
    <row r="11" customFormat="false" ht="15" hidden="false" customHeight="true" outlineLevel="0" collapsed="false">
      <c r="A11" s="26" t="n">
        <v>7</v>
      </c>
      <c r="B11" s="25" t="s">
        <v>267</v>
      </c>
      <c r="C11" s="29" t="s">
        <v>274</v>
      </c>
      <c r="D11" s="25" t="s">
        <v>275</v>
      </c>
      <c r="E11" s="25" t="s">
        <v>182</v>
      </c>
    </row>
    <row r="12" customFormat="false" ht="15" hidden="false" customHeight="true" outlineLevel="0" collapsed="false">
      <c r="A12" s="28" t="n">
        <v>8</v>
      </c>
      <c r="B12" s="27" t="s">
        <v>276</v>
      </c>
      <c r="C12" s="30" t="s">
        <v>277</v>
      </c>
      <c r="D12" s="27" t="s">
        <v>278</v>
      </c>
      <c r="E12" s="27" t="s">
        <v>109</v>
      </c>
    </row>
    <row r="13" customFormat="false" ht="15" hidden="false" customHeight="true" outlineLevel="0" collapsed="false">
      <c r="A13" s="26" t="n">
        <v>9</v>
      </c>
      <c r="B13" s="25" t="s">
        <v>276</v>
      </c>
      <c r="C13" s="29" t="s">
        <v>279</v>
      </c>
      <c r="D13" s="25" t="s">
        <v>280</v>
      </c>
      <c r="E13" s="25" t="s">
        <v>113</v>
      </c>
    </row>
    <row r="14" customFormat="false" ht="15" hidden="false" customHeight="true" outlineLevel="0" collapsed="false">
      <c r="A14" s="28" t="n">
        <v>10</v>
      </c>
      <c r="B14" s="27" t="s">
        <v>276</v>
      </c>
      <c r="C14" s="30" t="s">
        <v>281</v>
      </c>
      <c r="D14" s="27" t="s">
        <v>282</v>
      </c>
      <c r="E14" s="27" t="s">
        <v>273</v>
      </c>
    </row>
    <row r="15" customFormat="false" ht="21.75" hidden="false" customHeight="true" outlineLevel="0" collapsed="false">
      <c r="A15" s="26" t="n">
        <v>11</v>
      </c>
      <c r="B15" s="25" t="s">
        <v>283</v>
      </c>
      <c r="C15" s="29" t="s">
        <v>284</v>
      </c>
      <c r="D15" s="25" t="s">
        <v>285</v>
      </c>
      <c r="E15" s="25" t="s">
        <v>286</v>
      </c>
    </row>
    <row r="16" customFormat="false" ht="21.75" hidden="false" customHeight="true" outlineLevel="0" collapsed="false">
      <c r="A16" s="28" t="n">
        <v>12</v>
      </c>
      <c r="B16" s="27" t="s">
        <v>287</v>
      </c>
      <c r="C16" s="30" t="s">
        <v>288</v>
      </c>
      <c r="D16" s="27" t="s">
        <v>289</v>
      </c>
      <c r="E16" s="27" t="s">
        <v>290</v>
      </c>
    </row>
    <row r="17" customFormat="false" ht="15" hidden="false" customHeight="true" outlineLevel="0" collapsed="false">
      <c r="A17" s="26" t="n">
        <v>13</v>
      </c>
      <c r="B17" s="25" t="s">
        <v>287</v>
      </c>
      <c r="C17" s="29" t="s">
        <v>291</v>
      </c>
      <c r="D17" s="25" t="s">
        <v>292</v>
      </c>
      <c r="E17" s="25" t="s">
        <v>293</v>
      </c>
    </row>
    <row r="18" customFormat="false" ht="21.75" hidden="false" customHeight="true" outlineLevel="0" collapsed="false">
      <c r="A18" s="28" t="n">
        <v>14</v>
      </c>
      <c r="B18" s="27" t="s">
        <v>294</v>
      </c>
      <c r="C18" s="30" t="s">
        <v>295</v>
      </c>
      <c r="D18" s="27" t="s">
        <v>296</v>
      </c>
      <c r="E18" s="27" t="s">
        <v>293</v>
      </c>
    </row>
    <row r="19" customFormat="false" ht="21.75" hidden="false" customHeight="true" outlineLevel="0" collapsed="false">
      <c r="A19" s="26" t="n">
        <v>15</v>
      </c>
      <c r="B19" s="25" t="s">
        <v>294</v>
      </c>
      <c r="C19" s="29" t="s">
        <v>297</v>
      </c>
      <c r="D19" s="25" t="s">
        <v>298</v>
      </c>
      <c r="E19" s="25" t="s">
        <v>290</v>
      </c>
    </row>
    <row r="20" customFormat="false" ht="15" hidden="false" customHeight="true" outlineLevel="0" collapsed="false">
      <c r="A20" s="28" t="n">
        <v>16</v>
      </c>
      <c r="B20" s="27" t="s">
        <v>299</v>
      </c>
      <c r="C20" s="30" t="s">
        <v>300</v>
      </c>
      <c r="D20" s="27" t="s">
        <v>301</v>
      </c>
      <c r="E20" s="27" t="s">
        <v>52</v>
      </c>
    </row>
    <row r="21" customFormat="false" ht="15" hidden="false" customHeight="true" outlineLevel="0" collapsed="false">
      <c r="A21" s="26" t="n">
        <v>17</v>
      </c>
      <c r="B21" s="25" t="s">
        <v>299</v>
      </c>
      <c r="C21" s="29" t="s">
        <v>302</v>
      </c>
      <c r="D21" s="25" t="s">
        <v>303</v>
      </c>
      <c r="E21" s="25" t="s">
        <v>304</v>
      </c>
    </row>
    <row r="22" customFormat="false" ht="15" hidden="false" customHeight="true" outlineLevel="0" collapsed="false">
      <c r="A22" s="28" t="n">
        <v>18</v>
      </c>
      <c r="B22" s="27" t="s">
        <v>299</v>
      </c>
      <c r="C22" s="30" t="s">
        <v>305</v>
      </c>
      <c r="D22" s="27" t="s">
        <v>306</v>
      </c>
      <c r="E22" s="27" t="s">
        <v>307</v>
      </c>
    </row>
    <row r="23" customFormat="false" ht="15" hidden="false" customHeight="true" outlineLevel="0" collapsed="false">
      <c r="A23" s="26" t="n">
        <v>19</v>
      </c>
      <c r="B23" s="25" t="s">
        <v>299</v>
      </c>
      <c r="C23" s="29" t="s">
        <v>308</v>
      </c>
      <c r="D23" s="25" t="s">
        <v>309</v>
      </c>
      <c r="E23" s="25" t="s">
        <v>307</v>
      </c>
    </row>
    <row r="24" customFormat="false" ht="15" hidden="false" customHeight="true" outlineLevel="0" collapsed="false">
      <c r="A24" s="28" t="n">
        <v>20</v>
      </c>
      <c r="B24" s="27" t="s">
        <v>310</v>
      </c>
      <c r="C24" s="30" t="s">
        <v>311</v>
      </c>
      <c r="D24" s="27" t="s">
        <v>312</v>
      </c>
      <c r="E24" s="27" t="s">
        <v>313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95548"/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8"/>
    <col collapsed="false" customWidth="true" hidden="false" outlineLevel="0" max="3" min="3" style="1" width="24"/>
    <col collapsed="false" customWidth="true" hidden="false" outlineLevel="0" max="6" min="4" style="1" width="30"/>
  </cols>
  <sheetData>
    <row r="1" customFormat="false" ht="33.75" hidden="false" customHeight="true" outlineLevel="0" collapsed="false">
      <c r="A1" s="2" t="s">
        <v>314</v>
      </c>
      <c r="B1" s="2"/>
      <c r="C1" s="2"/>
      <c r="D1" s="2"/>
      <c r="E1" s="2"/>
      <c r="F1" s="2"/>
    </row>
    <row r="2" customFormat="false" ht="19.5" hidden="false" customHeight="true" outlineLevel="0" collapsed="false">
      <c r="A2" s="3" t="s">
        <v>315</v>
      </c>
      <c r="B2" s="3"/>
      <c r="C2" s="3"/>
      <c r="D2" s="3"/>
      <c r="E2" s="3"/>
      <c r="F2" s="3"/>
    </row>
    <row r="4" customFormat="false" ht="30" hidden="false" customHeight="true" outlineLevel="0" collapsed="false">
      <c r="A4" s="21" t="s">
        <v>24</v>
      </c>
      <c r="B4" s="21" t="s">
        <v>316</v>
      </c>
      <c r="C4" s="21" t="s">
        <v>317</v>
      </c>
      <c r="D4" s="21" t="s">
        <v>318</v>
      </c>
      <c r="E4" s="21" t="s">
        <v>319</v>
      </c>
      <c r="F4" s="21" t="s">
        <v>16</v>
      </c>
    </row>
    <row r="5" customFormat="false" ht="32.25" hidden="false" customHeight="true" outlineLevel="0" collapsed="false">
      <c r="A5" s="26" t="n">
        <v>1</v>
      </c>
      <c r="B5" s="25" t="s">
        <v>320</v>
      </c>
      <c r="C5" s="31" t="s">
        <v>321</v>
      </c>
      <c r="D5" s="25" t="s">
        <v>39</v>
      </c>
      <c r="E5" s="25" t="s">
        <v>322</v>
      </c>
      <c r="F5" s="25" t="s">
        <v>323</v>
      </c>
    </row>
    <row r="6" customFormat="false" ht="21.75" hidden="false" customHeight="true" outlineLevel="0" collapsed="false">
      <c r="A6" s="28" t="n">
        <v>2</v>
      </c>
      <c r="B6" s="27" t="s">
        <v>324</v>
      </c>
      <c r="C6" s="32" t="s">
        <v>325</v>
      </c>
      <c r="D6" s="27" t="s">
        <v>50</v>
      </c>
      <c r="E6" s="27" t="s">
        <v>85</v>
      </c>
      <c r="F6" s="27" t="s">
        <v>326</v>
      </c>
    </row>
    <row r="7" customFormat="false" ht="21.75" hidden="false" customHeight="true" outlineLevel="0" collapsed="false">
      <c r="A7" s="26" t="n">
        <v>3</v>
      </c>
      <c r="B7" s="25" t="s">
        <v>327</v>
      </c>
      <c r="C7" s="31" t="s">
        <v>328</v>
      </c>
      <c r="D7" s="25" t="s">
        <v>63</v>
      </c>
      <c r="E7" s="25" t="s">
        <v>329</v>
      </c>
      <c r="F7" s="25" t="s">
        <v>330</v>
      </c>
    </row>
    <row r="8" customFormat="false" ht="21.75" hidden="false" customHeight="true" outlineLevel="0" collapsed="false">
      <c r="A8" s="28" t="n">
        <v>4</v>
      </c>
      <c r="B8" s="27" t="s">
        <v>331</v>
      </c>
      <c r="C8" s="32" t="s">
        <v>332</v>
      </c>
      <c r="D8" s="27" t="s">
        <v>333</v>
      </c>
      <c r="E8" s="27" t="s">
        <v>334</v>
      </c>
      <c r="F8" s="27" t="s">
        <v>335</v>
      </c>
    </row>
    <row r="9" customFormat="false" ht="21.75" hidden="false" customHeight="true" outlineLevel="0" collapsed="false">
      <c r="A9" s="26" t="n">
        <v>5</v>
      </c>
      <c r="B9" s="25" t="s">
        <v>98</v>
      </c>
      <c r="C9" s="31" t="s">
        <v>336</v>
      </c>
      <c r="D9" s="25" t="s">
        <v>182</v>
      </c>
      <c r="E9" s="25" t="s">
        <v>337</v>
      </c>
      <c r="F9" s="25" t="s">
        <v>338</v>
      </c>
    </row>
    <row r="10" customFormat="false" ht="21.75" hidden="false" customHeight="true" outlineLevel="0" collapsed="false">
      <c r="A10" s="28" t="n">
        <v>6</v>
      </c>
      <c r="B10" s="27" t="s">
        <v>339</v>
      </c>
      <c r="C10" s="32" t="s">
        <v>340</v>
      </c>
      <c r="D10" s="27" t="s">
        <v>106</v>
      </c>
      <c r="E10" s="27" t="s">
        <v>145</v>
      </c>
      <c r="F10" s="27" t="s">
        <v>341</v>
      </c>
    </row>
    <row r="11" customFormat="false" ht="21.75" hidden="false" customHeight="true" outlineLevel="0" collapsed="false">
      <c r="A11" s="26" t="n">
        <v>7</v>
      </c>
      <c r="B11" s="25" t="s">
        <v>32</v>
      </c>
      <c r="C11" s="31" t="s">
        <v>342</v>
      </c>
      <c r="D11" s="25" t="s">
        <v>44</v>
      </c>
      <c r="E11" s="25" t="s">
        <v>87</v>
      </c>
      <c r="F11" s="25" t="s">
        <v>343</v>
      </c>
    </row>
    <row r="12" customFormat="false" ht="21.75" hidden="false" customHeight="true" outlineLevel="0" collapsed="false">
      <c r="A12" s="28" t="n">
        <v>8</v>
      </c>
      <c r="B12" s="27" t="s">
        <v>344</v>
      </c>
      <c r="C12" s="32" t="s">
        <v>345</v>
      </c>
      <c r="D12" s="27" t="s">
        <v>346</v>
      </c>
      <c r="E12" s="27" t="s">
        <v>347</v>
      </c>
      <c r="F12" s="27" t="s">
        <v>348</v>
      </c>
    </row>
    <row r="13" customFormat="false" ht="15" hidden="false" customHeight="true" outlineLevel="0" collapsed="false">
      <c r="A13" s="26" t="n">
        <v>9</v>
      </c>
      <c r="B13" s="25" t="s">
        <v>349</v>
      </c>
      <c r="C13" s="31" t="s">
        <v>350</v>
      </c>
      <c r="D13" s="25" t="s">
        <v>351</v>
      </c>
      <c r="E13" s="25" t="s">
        <v>352</v>
      </c>
      <c r="F13" s="25" t="s">
        <v>353</v>
      </c>
    </row>
    <row r="14" customFormat="false" ht="21.75" hidden="false" customHeight="true" outlineLevel="0" collapsed="false">
      <c r="A14" s="28" t="n">
        <v>10</v>
      </c>
      <c r="B14" s="27" t="s">
        <v>354</v>
      </c>
      <c r="C14" s="32" t="s">
        <v>355</v>
      </c>
      <c r="D14" s="27" t="s">
        <v>356</v>
      </c>
      <c r="E14" s="27" t="s">
        <v>357</v>
      </c>
      <c r="F14" s="27" t="s">
        <v>358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91E63"/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30"/>
    <col collapsed="false" customWidth="true" hidden="false" outlineLevel="0" max="4" min="4" style="1" width="20"/>
  </cols>
  <sheetData>
    <row r="1" customFormat="false" ht="33.75" hidden="false" customHeight="true" outlineLevel="0" collapsed="false">
      <c r="A1" s="2" t="s">
        <v>359</v>
      </c>
      <c r="B1" s="2"/>
      <c r="C1" s="2"/>
      <c r="D1" s="2"/>
    </row>
    <row r="2" customFormat="false" ht="19.5" hidden="false" customHeight="true" outlineLevel="0" collapsed="false">
      <c r="A2" s="3" t="s">
        <v>360</v>
      </c>
      <c r="B2" s="3"/>
      <c r="C2" s="3"/>
      <c r="D2" s="3"/>
    </row>
    <row r="4" customFormat="false" ht="21.75" hidden="false" customHeight="true" outlineLevel="0" collapsed="false">
      <c r="A4" s="10" t="s">
        <v>361</v>
      </c>
      <c r="B4" s="10"/>
      <c r="C4" s="10"/>
      <c r="D4" s="10"/>
    </row>
    <row r="5" customFormat="false" ht="15" hidden="false" customHeight="true" outlineLevel="0" collapsed="false">
      <c r="A5" s="11" t="s">
        <v>362</v>
      </c>
      <c r="B5" s="11" t="s">
        <v>363</v>
      </c>
      <c r="C5" s="11" t="s">
        <v>163</v>
      </c>
      <c r="D5" s="11" t="s">
        <v>15</v>
      </c>
    </row>
    <row r="6" customFormat="false" ht="49.5" hidden="false" customHeight="true" outlineLevel="0" collapsed="false">
      <c r="A6" s="33" t="s">
        <v>364</v>
      </c>
      <c r="B6" s="34" t="s">
        <v>365</v>
      </c>
      <c r="C6" s="35" t="s">
        <v>366</v>
      </c>
      <c r="D6" s="35" t="s">
        <v>367</v>
      </c>
    </row>
    <row r="7" customFormat="false" ht="49.5" hidden="false" customHeight="true" outlineLevel="0" collapsed="false">
      <c r="A7" s="36" t="s">
        <v>368</v>
      </c>
      <c r="B7" s="37" t="s">
        <v>369</v>
      </c>
      <c r="C7" s="38" t="s">
        <v>370</v>
      </c>
      <c r="D7" s="38" t="s">
        <v>367</v>
      </c>
    </row>
    <row r="8" customFormat="false" ht="49.5" hidden="false" customHeight="true" outlineLevel="0" collapsed="false">
      <c r="A8" s="39" t="s">
        <v>371</v>
      </c>
      <c r="B8" s="40" t="s">
        <v>372</v>
      </c>
      <c r="C8" s="41" t="s">
        <v>373</v>
      </c>
      <c r="D8" s="41" t="s">
        <v>374</v>
      </c>
    </row>
    <row r="9" customFormat="false" ht="49.5" hidden="false" customHeight="true" outlineLevel="0" collapsed="false">
      <c r="A9" s="42" t="s">
        <v>375</v>
      </c>
      <c r="B9" s="43" t="s">
        <v>376</v>
      </c>
      <c r="C9" s="44" t="s">
        <v>377</v>
      </c>
      <c r="D9" s="44" t="s">
        <v>378</v>
      </c>
    </row>
    <row r="10" customFormat="false" ht="49.5" hidden="false" customHeight="true" outlineLevel="0" collapsed="false">
      <c r="A10" s="33" t="s">
        <v>379</v>
      </c>
      <c r="B10" s="34" t="s">
        <v>380</v>
      </c>
      <c r="C10" s="35" t="s">
        <v>381</v>
      </c>
      <c r="D10" s="35" t="s">
        <v>374</v>
      </c>
    </row>
    <row r="11" customFormat="false" ht="49.5" hidden="false" customHeight="true" outlineLevel="0" collapsed="false">
      <c r="A11" s="36" t="s">
        <v>382</v>
      </c>
      <c r="B11" s="37" t="s">
        <v>383</v>
      </c>
      <c r="C11" s="38" t="s">
        <v>384</v>
      </c>
      <c r="D11" s="38" t="s">
        <v>385</v>
      </c>
    </row>
    <row r="12" customFormat="false" ht="49.5" hidden="false" customHeight="true" outlineLevel="0" collapsed="false">
      <c r="A12" s="45" t="s">
        <v>386</v>
      </c>
      <c r="B12" s="46" t="s">
        <v>387</v>
      </c>
      <c r="C12" s="47" t="s">
        <v>388</v>
      </c>
      <c r="D12" s="47" t="s">
        <v>389</v>
      </c>
    </row>
    <row r="14" customFormat="false" ht="21.75" hidden="false" customHeight="true" outlineLevel="0" collapsed="false">
      <c r="A14" s="10" t="s">
        <v>390</v>
      </c>
      <c r="B14" s="10"/>
      <c r="C14" s="10"/>
      <c r="D14" s="10"/>
    </row>
    <row r="15" customFormat="false" ht="21.75" hidden="false" customHeight="true" outlineLevel="0" collapsed="false">
      <c r="A15" s="48" t="s">
        <v>391</v>
      </c>
      <c r="B15" s="49" t="s">
        <v>392</v>
      </c>
      <c r="C15" s="50" t="s">
        <v>393</v>
      </c>
      <c r="D15" s="50"/>
    </row>
    <row r="16" customFormat="false" ht="21.75" hidden="false" customHeight="true" outlineLevel="0" collapsed="false">
      <c r="A16" s="48" t="s">
        <v>391</v>
      </c>
      <c r="B16" s="49" t="s">
        <v>394</v>
      </c>
      <c r="C16" s="50" t="s">
        <v>395</v>
      </c>
      <c r="D16" s="50"/>
    </row>
    <row r="17" customFormat="false" ht="21.75" hidden="false" customHeight="true" outlineLevel="0" collapsed="false">
      <c r="A17" s="48" t="s">
        <v>391</v>
      </c>
      <c r="B17" s="49" t="s">
        <v>396</v>
      </c>
      <c r="C17" s="50" t="s">
        <v>397</v>
      </c>
      <c r="D17" s="50"/>
    </row>
    <row r="18" customFormat="false" ht="21.75" hidden="false" customHeight="true" outlineLevel="0" collapsed="false">
      <c r="A18" s="48" t="s">
        <v>391</v>
      </c>
      <c r="B18" s="49" t="s">
        <v>398</v>
      </c>
      <c r="C18" s="50" t="s">
        <v>399</v>
      </c>
      <c r="D18" s="50"/>
    </row>
    <row r="19" customFormat="false" ht="21.75" hidden="false" customHeight="true" outlineLevel="0" collapsed="false">
      <c r="A19" s="48" t="s">
        <v>391</v>
      </c>
      <c r="B19" s="49" t="s">
        <v>400</v>
      </c>
      <c r="C19" s="50" t="s">
        <v>401</v>
      </c>
      <c r="D19" s="50"/>
    </row>
    <row r="20" customFormat="false" ht="21.75" hidden="false" customHeight="true" outlineLevel="0" collapsed="false">
      <c r="A20" s="48" t="s">
        <v>391</v>
      </c>
      <c r="B20" s="49" t="s">
        <v>402</v>
      </c>
      <c r="C20" s="50" t="s">
        <v>403</v>
      </c>
      <c r="D20" s="50"/>
    </row>
    <row r="21" customFormat="false" ht="21.75" hidden="false" customHeight="true" outlineLevel="0" collapsed="false">
      <c r="A21" s="48" t="s">
        <v>391</v>
      </c>
      <c r="B21" s="49" t="s">
        <v>404</v>
      </c>
      <c r="C21" s="50" t="s">
        <v>405</v>
      </c>
      <c r="D21" s="50"/>
    </row>
    <row r="23" customFormat="false" ht="21.75" hidden="false" customHeight="true" outlineLevel="0" collapsed="false">
      <c r="A23" s="51" t="s">
        <v>406</v>
      </c>
      <c r="B23" s="51"/>
      <c r="C23" s="51"/>
      <c r="D23" s="51"/>
    </row>
    <row r="24" customFormat="false" ht="27.75" hidden="false" customHeight="true" outlineLevel="0" collapsed="false">
      <c r="A24" s="52" t="s">
        <v>407</v>
      </c>
      <c r="B24" s="49" t="s">
        <v>408</v>
      </c>
      <c r="C24" s="50" t="s">
        <v>409</v>
      </c>
      <c r="D24" s="50"/>
    </row>
    <row r="25" customFormat="false" ht="27.75" hidden="false" customHeight="true" outlineLevel="0" collapsed="false">
      <c r="A25" s="52" t="s">
        <v>407</v>
      </c>
      <c r="B25" s="49" t="s">
        <v>410</v>
      </c>
      <c r="C25" s="50" t="s">
        <v>411</v>
      </c>
      <c r="D25" s="50"/>
    </row>
    <row r="26" customFormat="false" ht="27.75" hidden="false" customHeight="true" outlineLevel="0" collapsed="false">
      <c r="A26" s="52" t="s">
        <v>407</v>
      </c>
      <c r="B26" s="49" t="s">
        <v>412</v>
      </c>
      <c r="C26" s="50" t="s">
        <v>413</v>
      </c>
      <c r="D26" s="50"/>
    </row>
    <row r="27" customFormat="false" ht="27.75" hidden="false" customHeight="true" outlineLevel="0" collapsed="false">
      <c r="A27" s="52" t="s">
        <v>407</v>
      </c>
      <c r="B27" s="49" t="s">
        <v>414</v>
      </c>
      <c r="C27" s="50" t="s">
        <v>415</v>
      </c>
      <c r="D27" s="50"/>
    </row>
    <row r="28" customFormat="false" ht="27.75" hidden="false" customHeight="true" outlineLevel="0" collapsed="false">
      <c r="A28" s="52" t="s">
        <v>407</v>
      </c>
      <c r="B28" s="49" t="s">
        <v>416</v>
      </c>
      <c r="C28" s="50" t="s">
        <v>417</v>
      </c>
      <c r="D28" s="50"/>
    </row>
    <row r="29" customFormat="false" ht="27.75" hidden="false" customHeight="true" outlineLevel="0" collapsed="false">
      <c r="A29" s="52" t="s">
        <v>407</v>
      </c>
      <c r="B29" s="49" t="s">
        <v>418</v>
      </c>
      <c r="C29" s="50" t="s">
        <v>419</v>
      </c>
      <c r="D29" s="50"/>
    </row>
    <row r="30" customFormat="false" ht="27.75" hidden="false" customHeight="true" outlineLevel="0" collapsed="false">
      <c r="A30" s="52" t="s">
        <v>407</v>
      </c>
      <c r="B30" s="49" t="s">
        <v>420</v>
      </c>
      <c r="C30" s="50" t="s">
        <v>421</v>
      </c>
      <c r="D30" s="50"/>
    </row>
  </sheetData>
  <mergeCells count="19">
    <mergeCell ref="A1:D1"/>
    <mergeCell ref="A2:D2"/>
    <mergeCell ref="A4:D4"/>
    <mergeCell ref="A14:D14"/>
    <mergeCell ref="C15:D15"/>
    <mergeCell ref="C16:D16"/>
    <mergeCell ref="C17:D17"/>
    <mergeCell ref="C18:D18"/>
    <mergeCell ref="C19:D19"/>
    <mergeCell ref="C20:D20"/>
    <mergeCell ref="C21:D21"/>
    <mergeCell ref="A23:D23"/>
    <mergeCell ref="C24:D24"/>
    <mergeCell ref="C25:D25"/>
    <mergeCell ref="C26:D26"/>
    <mergeCell ref="C27:D27"/>
    <mergeCell ref="C28:D28"/>
    <mergeCell ref="C29:D29"/>
    <mergeCell ref="C30:D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2026-04-01T02:10:44Z</dcterms:created>
  <dc:creator>openpyxl</dc:creator>
  <dc:description/>
  <dc:language>en-US</dc:language>
  <cp:lastModifiedBy/>
  <dcterms:modified xsi:type="dcterms:W3CDTF">2026-04-01T13:34:44Z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